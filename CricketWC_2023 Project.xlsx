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852855bead4db185/Documents/SqlProject/"/>
    </mc:Choice>
  </mc:AlternateContent>
  <xr:revisionPtr revIDLastSave="0" documentId="8_{FB3A4769-3F7C-4E48-A31D-0CDA17A9356A}" xr6:coauthVersionLast="47" xr6:coauthVersionMax="47" xr10:uidLastSave="{00000000-0000-0000-0000-000000000000}"/>
  <bookViews>
    <workbookView xWindow="-120" yWindow="-120" windowWidth="29040" windowHeight="15720" activeTab="8" xr2:uid="{00000000-000D-0000-FFFF-FFFF00000000}"/>
  </bookViews>
  <sheets>
    <sheet name="Raw Data" sheetId="1" r:id="rId1"/>
    <sheet name="Table A" sheetId="3" r:id="rId2"/>
    <sheet name="Pivot Data" sheetId="5" r:id="rId3"/>
    <sheet name="Team Wise Statistics" sheetId="8" r:id="rId4"/>
    <sheet name="Match Wise" sheetId="16" r:id="rId5"/>
    <sheet name="Pivot Table" sheetId="18" r:id="rId6"/>
    <sheet name="Charts" sheetId="19" r:id="rId7"/>
    <sheet name="Statistics" sheetId="4" r:id="rId8"/>
    <sheet name="Dashboard" sheetId="17" r:id="rId9"/>
  </sheets>
  <definedNames>
    <definedName name="Slicer_Match_ID">#N/A</definedName>
    <definedName name="Slicer_Team">#N/A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6" l="1"/>
  <c r="G21" i="4"/>
  <c r="I17" i="4"/>
  <c r="G17" i="4"/>
  <c r="E17" i="4"/>
  <c r="I12" i="4"/>
  <c r="G12" i="4"/>
  <c r="E12" i="4" a="1"/>
  <c r="G8" i="4"/>
  <c r="J2" i="16"/>
  <c r="I2" i="16"/>
  <c r="H2" i="16"/>
  <c r="G2" i="16"/>
  <c r="F2" i="16"/>
  <c r="E2" i="16"/>
  <c r="D2" i="16"/>
  <c r="C2" i="16"/>
  <c r="I11" i="8"/>
  <c r="H11" i="8"/>
  <c r="F11" i="8"/>
  <c r="C11" i="8"/>
  <c r="B11" i="8"/>
  <c r="I10" i="8"/>
  <c r="H10" i="8"/>
  <c r="F10" i="8"/>
  <c r="C10" i="8"/>
  <c r="E10" i="8" s="1"/>
  <c r="B10" i="8"/>
  <c r="I9" i="8"/>
  <c r="H9" i="8"/>
  <c r="F9" i="8"/>
  <c r="C9" i="8"/>
  <c r="B9" i="8"/>
  <c r="D9" i="8" s="1"/>
  <c r="I8" i="8"/>
  <c r="H8" i="8"/>
  <c r="F8" i="8"/>
  <c r="C8" i="8"/>
  <c r="B8" i="8"/>
  <c r="D8" i="8" s="1"/>
  <c r="I7" i="8"/>
  <c r="H7" i="8"/>
  <c r="F7" i="8"/>
  <c r="C7" i="8"/>
  <c r="B7" i="8"/>
  <c r="D7" i="8" s="1"/>
  <c r="I6" i="8"/>
  <c r="H6" i="8"/>
  <c r="F6" i="8"/>
  <c r="C6" i="8"/>
  <c r="B6" i="8"/>
  <c r="D6" i="8" s="1"/>
  <c r="I5" i="8"/>
  <c r="H5" i="8"/>
  <c r="F5" i="8"/>
  <c r="C5" i="8"/>
  <c r="B5" i="8"/>
  <c r="D5" i="8" s="1"/>
  <c r="I4" i="8"/>
  <c r="H4" i="8"/>
  <c r="F4" i="8"/>
  <c r="C4" i="8"/>
  <c r="B4" i="8"/>
  <c r="D4" i="8" s="1"/>
  <c r="I3" i="8"/>
  <c r="H3" i="8"/>
  <c r="F3" i="8"/>
  <c r="C3" i="8"/>
  <c r="B3" i="8"/>
  <c r="D3" i="8" s="1"/>
  <c r="I2" i="8"/>
  <c r="H2" i="8"/>
  <c r="F2" i="8"/>
  <c r="C2" i="8"/>
  <c r="B2" i="8"/>
  <c r="D2" i="8" s="1"/>
  <c r="S97" i="5"/>
  <c r="P97" i="5"/>
  <c r="S96" i="5"/>
  <c r="P96" i="5"/>
  <c r="S95" i="5"/>
  <c r="P95" i="5"/>
  <c r="S94" i="5"/>
  <c r="P94" i="5"/>
  <c r="S93" i="5"/>
  <c r="P93" i="5"/>
  <c r="S92" i="5"/>
  <c r="P92" i="5"/>
  <c r="S91" i="5"/>
  <c r="P91" i="5"/>
  <c r="S90" i="5"/>
  <c r="P90" i="5"/>
  <c r="S89" i="5"/>
  <c r="P89" i="5"/>
  <c r="S88" i="5"/>
  <c r="P88" i="5"/>
  <c r="S87" i="5"/>
  <c r="P87" i="5"/>
  <c r="S86" i="5"/>
  <c r="P86" i="5"/>
  <c r="S85" i="5"/>
  <c r="P85" i="5"/>
  <c r="S84" i="5"/>
  <c r="P84" i="5"/>
  <c r="S83" i="5"/>
  <c r="P83" i="5"/>
  <c r="S82" i="5"/>
  <c r="P82" i="5"/>
  <c r="S81" i="5"/>
  <c r="P81" i="5"/>
  <c r="S80" i="5"/>
  <c r="P80" i="5"/>
  <c r="S79" i="5"/>
  <c r="P79" i="5"/>
  <c r="S78" i="5"/>
  <c r="P78" i="5"/>
  <c r="S77" i="5"/>
  <c r="P77" i="5"/>
  <c r="S76" i="5"/>
  <c r="P76" i="5"/>
  <c r="S75" i="5"/>
  <c r="P75" i="5"/>
  <c r="S74" i="5"/>
  <c r="P74" i="5"/>
  <c r="S73" i="5"/>
  <c r="P73" i="5"/>
  <c r="S72" i="5"/>
  <c r="P72" i="5"/>
  <c r="S71" i="5"/>
  <c r="P71" i="5"/>
  <c r="S70" i="5"/>
  <c r="P70" i="5"/>
  <c r="S69" i="5"/>
  <c r="P69" i="5"/>
  <c r="S68" i="5"/>
  <c r="P68" i="5"/>
  <c r="S67" i="5"/>
  <c r="P67" i="5"/>
  <c r="S66" i="5"/>
  <c r="P66" i="5"/>
  <c r="S65" i="5"/>
  <c r="P65" i="5"/>
  <c r="S64" i="5"/>
  <c r="P64" i="5"/>
  <c r="S63" i="5"/>
  <c r="P63" i="5"/>
  <c r="S62" i="5"/>
  <c r="P62" i="5"/>
  <c r="S61" i="5"/>
  <c r="P61" i="5"/>
  <c r="S60" i="5"/>
  <c r="P60" i="5"/>
  <c r="S59" i="5"/>
  <c r="P59" i="5"/>
  <c r="S58" i="5"/>
  <c r="P58" i="5"/>
  <c r="S57" i="5"/>
  <c r="P57" i="5"/>
  <c r="S56" i="5"/>
  <c r="P56" i="5"/>
  <c r="S55" i="5"/>
  <c r="P55" i="5"/>
  <c r="S54" i="5"/>
  <c r="P54" i="5"/>
  <c r="S53" i="5"/>
  <c r="P53" i="5"/>
  <c r="S52" i="5"/>
  <c r="P52" i="5"/>
  <c r="S51" i="5"/>
  <c r="P51" i="5"/>
  <c r="S50" i="5"/>
  <c r="P50" i="5"/>
  <c r="S49" i="5"/>
  <c r="P49" i="5"/>
  <c r="S48" i="5"/>
  <c r="P48" i="5"/>
  <c r="S47" i="5"/>
  <c r="P47" i="5"/>
  <c r="S46" i="5"/>
  <c r="P46" i="5"/>
  <c r="S45" i="5"/>
  <c r="P45" i="5"/>
  <c r="S44" i="5"/>
  <c r="P44" i="5"/>
  <c r="S43" i="5"/>
  <c r="P43" i="5"/>
  <c r="S42" i="5"/>
  <c r="P42" i="5"/>
  <c r="S41" i="5"/>
  <c r="P41" i="5"/>
  <c r="S40" i="5"/>
  <c r="P40" i="5"/>
  <c r="S39" i="5"/>
  <c r="P39" i="5"/>
  <c r="S38" i="5"/>
  <c r="P38" i="5"/>
  <c r="S37" i="5"/>
  <c r="P37" i="5"/>
  <c r="S36" i="5"/>
  <c r="P36" i="5"/>
  <c r="S35" i="5"/>
  <c r="P35" i="5"/>
  <c r="S34" i="5"/>
  <c r="P34" i="5"/>
  <c r="S33" i="5"/>
  <c r="P33" i="5"/>
  <c r="S32" i="5"/>
  <c r="P32" i="5"/>
  <c r="S31" i="5"/>
  <c r="P31" i="5"/>
  <c r="S30" i="5"/>
  <c r="P30" i="5"/>
  <c r="S29" i="5"/>
  <c r="P29" i="5"/>
  <c r="S28" i="5"/>
  <c r="P28" i="5"/>
  <c r="S27" i="5"/>
  <c r="P27" i="5"/>
  <c r="S26" i="5"/>
  <c r="P26" i="5"/>
  <c r="S25" i="5"/>
  <c r="P25" i="5"/>
  <c r="S24" i="5"/>
  <c r="P24" i="5"/>
  <c r="S23" i="5"/>
  <c r="P23" i="5"/>
  <c r="S22" i="5"/>
  <c r="P22" i="5"/>
  <c r="S21" i="5"/>
  <c r="P21" i="5"/>
  <c r="S20" i="5"/>
  <c r="P20" i="5"/>
  <c r="S19" i="5"/>
  <c r="P19" i="5"/>
  <c r="S18" i="5"/>
  <c r="P18" i="5"/>
  <c r="S17" i="5"/>
  <c r="P17" i="5"/>
  <c r="S16" i="5"/>
  <c r="P16" i="5"/>
  <c r="S15" i="5"/>
  <c r="P15" i="5"/>
  <c r="S14" i="5"/>
  <c r="P14" i="5"/>
  <c r="S13" i="5"/>
  <c r="P13" i="5"/>
  <c r="S12" i="5"/>
  <c r="P12" i="5"/>
  <c r="S11" i="5"/>
  <c r="P11" i="5"/>
  <c r="S10" i="5"/>
  <c r="P10" i="5"/>
  <c r="S9" i="5"/>
  <c r="P9" i="5"/>
  <c r="S8" i="5"/>
  <c r="P8" i="5"/>
  <c r="S7" i="5"/>
  <c r="P7" i="5"/>
  <c r="S6" i="5"/>
  <c r="P6" i="5"/>
  <c r="S5" i="5"/>
  <c r="P5" i="5"/>
  <c r="S4" i="5"/>
  <c r="P4" i="5"/>
  <c r="S3" i="5"/>
  <c r="P3" i="5"/>
  <c r="S2" i="5"/>
  <c r="P2" i="5"/>
  <c r="AT49" i="3"/>
  <c r="AM49" i="3"/>
  <c r="AT48" i="3"/>
  <c r="AM48" i="3"/>
  <c r="AT47" i="3"/>
  <c r="AM47" i="3"/>
  <c r="AT46" i="3"/>
  <c r="AM46" i="3"/>
  <c r="AT45" i="3"/>
  <c r="AM45" i="3"/>
  <c r="AT44" i="3"/>
  <c r="AM44" i="3"/>
  <c r="AT43" i="3"/>
  <c r="AM43" i="3"/>
  <c r="AT42" i="3"/>
  <c r="AM42" i="3"/>
  <c r="AT41" i="3"/>
  <c r="AM41" i="3"/>
  <c r="AT40" i="3"/>
  <c r="AM40" i="3"/>
  <c r="AT39" i="3"/>
  <c r="AM39" i="3"/>
  <c r="AT38" i="3"/>
  <c r="AM38" i="3"/>
  <c r="AT37" i="3"/>
  <c r="AM37" i="3"/>
  <c r="AT36" i="3"/>
  <c r="AM36" i="3"/>
  <c r="AT35" i="3"/>
  <c r="AM35" i="3"/>
  <c r="AT34" i="3"/>
  <c r="AM34" i="3"/>
  <c r="AT33" i="3"/>
  <c r="AM33" i="3"/>
  <c r="AT32" i="3"/>
  <c r="AM32" i="3"/>
  <c r="AT31" i="3"/>
  <c r="AM31" i="3"/>
  <c r="AT30" i="3"/>
  <c r="AM30" i="3"/>
  <c r="AT29" i="3"/>
  <c r="AM29" i="3"/>
  <c r="AT28" i="3"/>
  <c r="AM28" i="3"/>
  <c r="AT27" i="3"/>
  <c r="AM27" i="3"/>
  <c r="AT26" i="3"/>
  <c r="AM26" i="3"/>
  <c r="AT25" i="3"/>
  <c r="AM25" i="3"/>
  <c r="AT24" i="3"/>
  <c r="AM24" i="3"/>
  <c r="AT23" i="3"/>
  <c r="AM23" i="3"/>
  <c r="AT22" i="3"/>
  <c r="AM22" i="3"/>
  <c r="AT21" i="3"/>
  <c r="AM21" i="3"/>
  <c r="AT20" i="3"/>
  <c r="AM20" i="3"/>
  <c r="AT19" i="3"/>
  <c r="AM19" i="3"/>
  <c r="AT18" i="3"/>
  <c r="AM18" i="3"/>
  <c r="AT17" i="3"/>
  <c r="AM17" i="3"/>
  <c r="AT16" i="3"/>
  <c r="AM16" i="3"/>
  <c r="AT15" i="3"/>
  <c r="AM15" i="3"/>
  <c r="AT14" i="3"/>
  <c r="AM14" i="3"/>
  <c r="AT13" i="3"/>
  <c r="AM13" i="3"/>
  <c r="AT12" i="3"/>
  <c r="AM12" i="3"/>
  <c r="AT11" i="3"/>
  <c r="AM11" i="3"/>
  <c r="AT10" i="3"/>
  <c r="AM10" i="3"/>
  <c r="AT9" i="3"/>
  <c r="AM9" i="3"/>
  <c r="AT8" i="3"/>
  <c r="AM8" i="3"/>
  <c r="AT7" i="3"/>
  <c r="AM7" i="3"/>
  <c r="AT6" i="3"/>
  <c r="AM6" i="3"/>
  <c r="AT5" i="3"/>
  <c r="AM5" i="3"/>
  <c r="AT4" i="3"/>
  <c r="AM4" i="3"/>
  <c r="AT3" i="3"/>
  <c r="AM3" i="3"/>
  <c r="AT2" i="3"/>
  <c r="AM2" i="3"/>
  <c r="D10" i="8" l="1"/>
  <c r="E8" i="8"/>
  <c r="D11" i="8"/>
  <c r="G8" i="8"/>
  <c r="J11" i="8"/>
  <c r="J7" i="8"/>
  <c r="E4" i="8"/>
  <c r="J4" i="8"/>
  <c r="G6" i="8"/>
  <c r="E6" i="8"/>
  <c r="G3" i="8"/>
  <c r="J2" i="8"/>
  <c r="G2" i="8"/>
  <c r="E2" i="8"/>
  <c r="J6" i="8"/>
  <c r="G11" i="8"/>
  <c r="E9" i="8"/>
  <c r="J5" i="8"/>
  <c r="G4" i="8"/>
  <c r="E11" i="8"/>
  <c r="J9" i="8"/>
  <c r="J3" i="8"/>
  <c r="J10" i="8"/>
  <c r="G5" i="8"/>
  <c r="E3" i="8"/>
  <c r="J8" i="8"/>
  <c r="E7" i="8"/>
  <c r="E5" i="8"/>
  <c r="G10" i="8"/>
  <c r="G9" i="8"/>
  <c r="G7"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<sst xmlns="http://schemas.openxmlformats.org/spreadsheetml/2006/main" count="2444" uniqueCount="260">
  <si>
    <t>Match ID</t>
  </si>
  <si>
    <t>Match Date</t>
  </si>
  <si>
    <t>Match Time</t>
  </si>
  <si>
    <t>City</t>
  </si>
  <si>
    <t>Stadium</t>
  </si>
  <si>
    <t>Team A</t>
  </si>
  <si>
    <t>Team B</t>
  </si>
  <si>
    <t>Toss Winner</t>
  </si>
  <si>
    <t>Toss Decision</t>
  </si>
  <si>
    <t>Score A</t>
  </si>
  <si>
    <t>Wickets A</t>
  </si>
  <si>
    <t>Overs Played A</t>
  </si>
  <si>
    <t>Maiden Overs A</t>
  </si>
  <si>
    <t>4s A</t>
  </si>
  <si>
    <t>6s A</t>
  </si>
  <si>
    <t>Boundaries A</t>
  </si>
  <si>
    <t>Runrate A</t>
  </si>
  <si>
    <t>Leg Byes A</t>
  </si>
  <si>
    <t>Byes A</t>
  </si>
  <si>
    <t>Wides A</t>
  </si>
  <si>
    <t>No Balls A</t>
  </si>
  <si>
    <t>Penalty A</t>
  </si>
  <si>
    <t>Extras A</t>
  </si>
  <si>
    <t>Score B</t>
  </si>
  <si>
    <t>Wickets B</t>
  </si>
  <si>
    <t>Overs Played B</t>
  </si>
  <si>
    <t>Maiden Overs B</t>
  </si>
  <si>
    <t>4s B</t>
  </si>
  <si>
    <t>6s B</t>
  </si>
  <si>
    <t>Boundaries B</t>
  </si>
  <si>
    <t>Runrate B</t>
  </si>
  <si>
    <t>Leg Byes B</t>
  </si>
  <si>
    <t>Byes B</t>
  </si>
  <si>
    <t>Wides B</t>
  </si>
  <si>
    <t>No Balls B</t>
  </si>
  <si>
    <t>Penalty B</t>
  </si>
  <si>
    <t>Extras B</t>
  </si>
  <si>
    <t>Wining Team</t>
  </si>
  <si>
    <t>Margin</t>
  </si>
  <si>
    <t>Man of the Match</t>
  </si>
  <si>
    <t>Umpire 1</t>
  </si>
  <si>
    <t>Umpire 2</t>
  </si>
  <si>
    <t>TV Umpire</t>
  </si>
  <si>
    <t>Match Refree</t>
  </si>
  <si>
    <t>Ahmedabad</t>
  </si>
  <si>
    <t>Narendra Modi Stadium</t>
  </si>
  <si>
    <t>England</t>
  </si>
  <si>
    <t>NewZealand</t>
  </si>
  <si>
    <t>Field</t>
  </si>
  <si>
    <t>9 Wickets</t>
  </si>
  <si>
    <t>Rachin Ravindra</t>
  </si>
  <si>
    <t>Kumar Dharmasena</t>
  </si>
  <si>
    <t>Nitin Menon</t>
  </si>
  <si>
    <t>Paul Wilson</t>
  </si>
  <si>
    <t>Javagal Srinath</t>
  </si>
  <si>
    <t>Hyderabad</t>
  </si>
  <si>
    <t>Eden Gardens</t>
  </si>
  <si>
    <t>Pakistan</t>
  </si>
  <si>
    <t>Netherlands</t>
  </si>
  <si>
    <t>81 Runs</t>
  </si>
  <si>
    <t>Saud Shakeel</t>
  </si>
  <si>
    <t>Adrian Holdstock</t>
  </si>
  <si>
    <t>Chris Brown</t>
  </si>
  <si>
    <t>Rod Tucker</t>
  </si>
  <si>
    <t>Jeff Crowe</t>
  </si>
  <si>
    <t>Dharamshala</t>
  </si>
  <si>
    <t>HPCA Stadium</t>
  </si>
  <si>
    <t>Afghanistan</t>
  </si>
  <si>
    <t>Bangladesh</t>
  </si>
  <si>
    <t>6 Wickets</t>
  </si>
  <si>
    <t>Mehidy Hasan Miraz</t>
  </si>
  <si>
    <t>Joel Wilson</t>
  </si>
  <si>
    <t>Ahsan Raza</t>
  </si>
  <si>
    <t>Andy Pycroft</t>
  </si>
  <si>
    <t>Delhi</t>
  </si>
  <si>
    <t>Arun Jaitley Stadium</t>
  </si>
  <si>
    <t>South Africa</t>
  </si>
  <si>
    <t>Sri Lanka</t>
  </si>
  <si>
    <t>102 Runs</t>
  </si>
  <si>
    <t>Aiden Markram</t>
  </si>
  <si>
    <t>Richard Illingworth</t>
  </si>
  <si>
    <t>Sharfuddoula</t>
  </si>
  <si>
    <t>Michael Gough</t>
  </si>
  <si>
    <t>Chennai</t>
  </si>
  <si>
    <t>M. A. Chidambaram Stadium</t>
  </si>
  <si>
    <t>Australia</t>
  </si>
  <si>
    <t>India</t>
  </si>
  <si>
    <t>Bat</t>
  </si>
  <si>
    <t>6 wickets</t>
  </si>
  <si>
    <t>KL Rahul</t>
  </si>
  <si>
    <t>Chris Gaffaney</t>
  </si>
  <si>
    <t>Richard Kettleborough</t>
  </si>
  <si>
    <t>Richie Richardson</t>
  </si>
  <si>
    <t>Rajiv Gandhi International Stadium</t>
  </si>
  <si>
    <t>99 Runs</t>
  </si>
  <si>
    <t>Mitchell Santner</t>
  </si>
  <si>
    <t>Paul Reiffel</t>
  </si>
  <si>
    <t>137 Runs</t>
  </si>
  <si>
    <t>Dawid Malan</t>
  </si>
  <si>
    <t>Mohammad Rizwan</t>
  </si>
  <si>
    <t>Alex Wharf</t>
  </si>
  <si>
    <t>8 Wickets</t>
  </si>
  <si>
    <t>Rohit Sharma</t>
  </si>
  <si>
    <t>Marais Erasmus</t>
  </si>
  <si>
    <t>Lucknow</t>
  </si>
  <si>
    <t>BRSABV Ekana Cricket Stadium</t>
  </si>
  <si>
    <t>134 Runs</t>
  </si>
  <si>
    <t>Quinton de Kock</t>
  </si>
  <si>
    <t>Lockie Ferguson</t>
  </si>
  <si>
    <t>7 Wickets</t>
  </si>
  <si>
    <t>Jasprit Bumrah</t>
  </si>
  <si>
    <t xml:space="preserve"> 69 Runs</t>
  </si>
  <si>
    <t>Mujeeb Ur Rahman</t>
  </si>
  <si>
    <t>5 Wickets</t>
  </si>
  <si>
    <t>Adam Zampa</t>
  </si>
  <si>
    <t>38 Runs</t>
  </si>
  <si>
    <t>Scott Edwards</t>
  </si>
  <si>
    <t>149 Runs</t>
  </si>
  <si>
    <t>Glenn Phillips</t>
  </si>
  <si>
    <t>Pune</t>
  </si>
  <si>
    <t>Maharashtra Cricket Association Stadium</t>
  </si>
  <si>
    <t>Virat Kohli</t>
  </si>
  <si>
    <t>Bangalore</t>
  </si>
  <si>
    <t>M. Chinnaswamy Stadium</t>
  </si>
  <si>
    <t>62 Runs</t>
  </si>
  <si>
    <t>David Warner</t>
  </si>
  <si>
    <t>Sadeera Samarawickrama</t>
  </si>
  <si>
    <t>Mumbai</t>
  </si>
  <si>
    <t>Wankhede Stadium</t>
  </si>
  <si>
    <t>229 Runs</t>
  </si>
  <si>
    <t>Heinrich Klaasen</t>
  </si>
  <si>
    <t>4 Wickets</t>
  </si>
  <si>
    <t>Mohammed Shami</t>
  </si>
  <si>
    <t>Ibrahim Zadran</t>
  </si>
  <si>
    <t>309 Runs</t>
  </si>
  <si>
    <t>Glenn Maxwell</t>
  </si>
  <si>
    <t>Lahiru Kumara</t>
  </si>
  <si>
    <t>1 Wicket</t>
  </si>
  <si>
    <t>Tabraiz Shamsi</t>
  </si>
  <si>
    <t>5 Runs</t>
  </si>
  <si>
    <t>Travis Head</t>
  </si>
  <si>
    <t>Kolkata</t>
  </si>
  <si>
    <t>87 Runs</t>
  </si>
  <si>
    <t>Paul van Meekeren</t>
  </si>
  <si>
    <t>100 Runs</t>
  </si>
  <si>
    <t>Fazalhaq Farooqi</t>
  </si>
  <si>
    <t>31-11-2023</t>
  </si>
  <si>
    <t>Fakhar Zaman</t>
  </si>
  <si>
    <t>190 Runs</t>
  </si>
  <si>
    <t>Rassie van der Dussen</t>
  </si>
  <si>
    <t>302 Runs</t>
  </si>
  <si>
    <t>Mohammad Nabi</t>
  </si>
  <si>
    <t>21 Runs DLS Method</t>
  </si>
  <si>
    <t>33 Runs</t>
  </si>
  <si>
    <t>243 Runs</t>
  </si>
  <si>
    <t>3 Wickets</t>
  </si>
  <si>
    <t>Shakib Al Hasan</t>
  </si>
  <si>
    <t>160 Runs</t>
  </si>
  <si>
    <t>Ben Stokes</t>
  </si>
  <si>
    <t>Trent Boult</t>
  </si>
  <si>
    <t>5,20</t>
  </si>
  <si>
    <t>Mitchell Marsh</t>
  </si>
  <si>
    <t>93 Runs</t>
  </si>
  <si>
    <t>David Willey</t>
  </si>
  <si>
    <t>Shreyas Iyer</t>
  </si>
  <si>
    <t>70 Runs</t>
  </si>
  <si>
    <t>Losing team</t>
  </si>
  <si>
    <t xml:space="preserve">Toss and Match Winner </t>
  </si>
  <si>
    <t>69 Runs</t>
  </si>
  <si>
    <t>Team</t>
  </si>
  <si>
    <t>Opponent</t>
  </si>
  <si>
    <t>Venue</t>
  </si>
  <si>
    <t>Runs</t>
  </si>
  <si>
    <t>Wickets Lost</t>
  </si>
  <si>
    <t>Overs</t>
  </si>
  <si>
    <t>Run Rate</t>
  </si>
  <si>
    <t>Boundaries</t>
  </si>
  <si>
    <t>Extras</t>
  </si>
  <si>
    <t>Result</t>
  </si>
  <si>
    <t>Match Winner</t>
  </si>
  <si>
    <t>MOM Country</t>
  </si>
  <si>
    <t>Toss and Match Winner</t>
  </si>
  <si>
    <t>05-10-2023</t>
  </si>
  <si>
    <t>Loss</t>
  </si>
  <si>
    <t>Win</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</si>
  <si>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</si>
  <si>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</si>
  <si>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</si>
  <si>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</si>
  <si>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</si>
  <si>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</si>
  <si>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</si>
  <si>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</si>
  <si>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</si>
  <si>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</si>
  <si>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</si>
  <si>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</si>
  <si>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</si>
  <si>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</si>
  <si>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</si>
  <si>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</si>
  <si>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</si>
  <si>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</si>
  <si>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</si>
  <si>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</si>
  <si>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</si>
  <si>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</si>
  <si>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</si>
  <si>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</si>
  <si>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</si>
  <si>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</si>
  <si>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</si>
  <si>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</si>
  <si>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</si>
  <si>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</si>
  <si>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</si>
  <si>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</si>
  <si>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</si>
  <si>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</si>
  <si>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</si>
  <si>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</si>
  <si>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</si>
  <si>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</si>
  <si>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15-11-2023</t>
  </si>
  <si>
    <t>16-11-2023</t>
  </si>
  <si>
    <t>19-11-2023</t>
  </si>
  <si>
    <t>Matches</t>
  </si>
  <si>
    <t>Wins</t>
  </si>
  <si>
    <t>Losses</t>
  </si>
  <si>
    <t>Win %</t>
  </si>
  <si>
    <t>Runs Scored</t>
  </si>
  <si>
    <t>Avg Runs</t>
  </si>
  <si>
    <t>Toss Wins</t>
  </si>
  <si>
    <t>Toss Win %</t>
  </si>
  <si>
    <t>Total Runs</t>
  </si>
  <si>
    <t>Total Boundaries</t>
  </si>
  <si>
    <t>Grand Total</t>
  </si>
  <si>
    <t>Enter Match ID</t>
  </si>
  <si>
    <t>Losing Team</t>
  </si>
  <si>
    <t>Sum of Score A</t>
  </si>
  <si>
    <t>Sum of Score B</t>
  </si>
  <si>
    <t>Sum of Wickets A</t>
  </si>
  <si>
    <t>Sum of Wickets B</t>
  </si>
  <si>
    <t>Sum of Overs Played A</t>
  </si>
  <si>
    <t>Sum of Overs Played B</t>
  </si>
  <si>
    <t>Cricket World Cup 2023 Statistics</t>
  </si>
  <si>
    <t>Total Matches Played</t>
  </si>
  <si>
    <t>Total Runs Scored</t>
  </si>
  <si>
    <t>Total Wickets Taken</t>
  </si>
  <si>
    <t>Lowest Team Score</t>
  </si>
  <si>
    <t>Highest Team Score</t>
  </si>
  <si>
    <t>Average Wickets Taken</t>
  </si>
  <si>
    <t>Average Innings Score</t>
  </si>
  <si>
    <t>Toss Win Percentage</t>
  </si>
  <si>
    <t>Column Labels</t>
  </si>
  <si>
    <t>(blank)</t>
  </si>
  <si>
    <t>(All)</t>
  </si>
  <si>
    <t>Teams</t>
  </si>
  <si>
    <t>Average  Runs</t>
  </si>
  <si>
    <t>Average of Run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</si>
</sst>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_);[Red]\(0.00\)"/>
    <numFmt numFmtId="165" formatCode="0.0"/>
    <numFmt numFmtId="166" formatCode="0.0%"/>
    <numFmt numFmtId="167" formatCode="dd/mmm/yyyy"/>
  </numFmts>
  <fonts count="29">
    <font>
      <sz val="11"/>
      <color theme="1"/>
      <name val="Calibri"/>
      <charset val="134"/>
      <scheme val="minor"/>
    </font>
    <font>
      <sz val="8"/>
      <color theme="4" tint="0.79998168889431442"/>
      <name val="Calibri"/>
      <charset val="134"/>
      <scheme val="minor"/>
    </font>
    <font>
      <sz val="8"/>
      <color theme="1"/>
      <name val="Calibri"/>
      <charset val="134"/>
      <scheme val="minor"/>
    </font>
    <font>
      <sz val="14"/>
      <color theme="1" tint="4.9989318521683403E-2"/>
      <name val="Calibri"/>
      <charset val="134"/>
      <scheme val="minor"/>
    </font>
    <font>
      <sz val="14"/>
      <color theme="0"/>
      <name val="Calibri"/>
      <charset val="134"/>
      <scheme val="minor"/>
    </font>
    <font>
      <b/>
      <sz val="26"/>
      <color theme="0"/>
      <name val="Arial"/>
      <charset val="134"/>
    </font>
    <font>
      <sz val="26"/>
      <color theme="0"/>
      <name val="Bebas Neue"/>
      <charset val="134"/>
    </font>
    <font>
      <sz val="14"/>
      <color theme="1" tint="4.9989318521683403E-2"/>
      <name val="Montserrat"/>
      <charset val="134"/>
    </font>
    <font>
      <sz val="14"/>
      <color theme="1" tint="4.9989318521683403E-2"/>
      <name val="Bebas Neue"/>
      <charset val="134"/>
    </font>
    <font>
      <sz val="14"/>
      <color theme="1" tint="4.9989318521683403E-2"/>
      <name val="Bahnschrift SemiBold"/>
      <charset val="134"/>
    </font>
    <font>
      <b/>
      <sz val="14"/>
      <color theme="0"/>
      <name val="Calibri"/>
      <charset val="134"/>
    </font>
    <font>
      <sz val="14"/>
      <color theme="0"/>
      <name val="Bahnschrift SemiBold"/>
      <charset val="134"/>
    </font>
    <font>
      <sz val="12"/>
      <color theme="1" tint="4.9989318521683403E-2"/>
      <name val="Calibri"/>
      <charset val="134"/>
    </font>
    <font>
      <sz val="14"/>
      <color theme="1"/>
      <name val="Calibri"/>
      <charset val="134"/>
    </font>
    <font>
      <b/>
      <sz val="14"/>
      <color theme="1" tint="4.9989318521683403E-2"/>
      <name val="Calibri"/>
      <charset val="134"/>
      <scheme val="minor"/>
    </font>
    <font>
      <sz val="14"/>
      <color theme="1" tint="4.9989318521683403E-2"/>
      <name val="Calibri"/>
      <charset val="134"/>
    </font>
    <font>
      <sz val="12"/>
      <color theme="1"/>
      <name val="Calibri"/>
      <charset val="134"/>
    </font>
    <font>
      <sz val="12"/>
      <color theme="1" tint="4.9989318521683403E-2"/>
      <name val="Calibri"/>
      <charset val="134"/>
      <scheme val="minor"/>
    </font>
    <font>
      <sz val="11"/>
      <color theme="0"/>
      <name val="Calibri"/>
      <charset val="134"/>
      <scheme val="minor"/>
    </font>
    <font>
      <sz val="14"/>
      <color theme="1"/>
      <name val="Calibri"/>
      <charset val="134"/>
      <scheme val="minor"/>
    </font>
    <font>
      <sz val="12"/>
      <color theme="1"/>
      <name val="Calibri"/>
      <charset val="134"/>
      <scheme val="minor"/>
    </font>
    <font>
      <b/>
      <sz val="11"/>
      <color theme="1"/>
      <name val="Calibri"/>
      <charset val="134"/>
    </font>
    <font>
      <sz val="11"/>
      <color theme="1"/>
      <name val="Calibri"/>
      <charset val="134"/>
      <scheme val="minor"/>
    </font>
    <font>
      <sz val="8"/>
      <color theme="4" tint="0.79998168889431442"/>
      <name val="Aharoni"/>
      <charset val="177"/>
    </font>
    <font>
      <b/>
      <sz val="11"/>
      <color theme="0"/>
      <name val="Calibri"/>
      <family val="2"/>
      <scheme val="minor"/>
    </font>
    <font>
      <b/>
      <sz val="11"/>
      <color theme="1"/>
      <name val="Calibri"/>
      <family val="2"/>
      <scheme val="minor"/>
    </font>
    <font>
      <sz val="11"/>
      <color theme="0"/>
      <name val="Calibri"/>
      <family val="2"/>
      <scheme val="minor"/>
    </font>
    <font>
      <b/>
      <sz val="11"/>
      <color theme="0"/>
      <name val="Calibri"/>
      <family val="2"/>
      <charset val="134"/>
      <scheme val="minor"/>
    </font>
    <font>
      <b/>
      <sz val="11"/>
      <color theme="0"/>
      <name val="Calibri"/>
      <charset val="134"/>
      <scheme val="minor"/>
    </font>
  </fonts>
  <fills count="10">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rgb="FF002060"/>
        <bgColor indexed="64"/>
      </patternFill>
    </fill>
    <fill>
      <patternFill patternType="solid">
        <fgColor theme="8" tint="-0.499984740745262"/>
        <bgColor indexed="64"/>
      </patternFill>
    </fill>
    <fill>
      <patternFill patternType="solid">
        <fgColor theme="0" tint="-4.9989318521683403E-2"/>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9" fontId="22" fillId="0" borderId="0" applyFont="0" applyFill="0" applyBorder="0" applyAlignment="0" applyProtection="0">
      <alignment vertical="center"/>
    </xf>
  </cellStyleXfs>
  <cellXfs count="59">
    <xf numFmtId="0" fontId="0" fillId="0" borderId="0" xfId="0">
      <alignment vertical="center"/>
    </xf>
    <xf numFmtId="0" fontId="1" fillId="2" borderId="0" xfId="0" applyFont="1" applyFill="1">
      <alignment vertical="center"/>
    </xf>
    <xf numFmtId="0" fontId="2" fillId="2" borderId="0" xfId="0" applyFont="1" applyFill="1">
      <alignment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4" borderId="0" xfId="0" applyFont="1" applyFill="1" applyAlignment="1">
      <alignment horizontal="center" vertical="center"/>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12" fillId="5" borderId="0" xfId="0" applyFont="1" applyFill="1" applyAlignment="1">
      <alignment horizontal="center" vertical="center"/>
    </xf>
    <xf numFmtId="164" fontId="3" fillId="4" borderId="0" xfId="0" applyNumberFormat="1" applyFont="1" applyFill="1" applyAlignment="1">
      <alignment horizontal="center" vertical="center"/>
    </xf>
    <xf numFmtId="10" fontId="13" fillId="4" borderId="0" xfId="1" applyNumberFormat="1" applyFont="1" applyFill="1" applyAlignment="1">
      <alignment horizontal="center" vertical="center"/>
    </xf>
    <xf numFmtId="0" fontId="14" fillId="4" borderId="0" xfId="0" applyFont="1" applyFill="1" applyAlignment="1">
      <alignment horizontal="center" vertical="center"/>
    </xf>
    <xf numFmtId="164" fontId="12" fillId="5" borderId="0" xfId="0" applyNumberFormat="1" applyFont="1" applyFill="1" applyAlignment="1">
      <alignment horizontal="center" vertical="center"/>
    </xf>
    <xf numFmtId="0" fontId="15" fillId="4" borderId="0" xfId="0" applyFont="1" applyFill="1" applyAlignment="1">
      <alignment horizontal="center" vertical="center"/>
    </xf>
    <xf numFmtId="10" fontId="16" fillId="5" borderId="0" xfId="1" applyNumberFormat="1" applyFont="1" applyFill="1" applyAlignment="1">
      <alignment horizontal="center" vertical="center"/>
    </xf>
    <xf numFmtId="0" fontId="17" fillId="4" borderId="0" xfId="0" applyFont="1" applyFill="1" applyAlignment="1">
      <alignment horizontal="center" vertical="center"/>
    </xf>
    <xf numFmtId="0" fontId="18" fillId="6" borderId="0" xfId="0" applyFont="1" applyFill="1">
      <alignment vertical="center"/>
    </xf>
    <xf numFmtId="0" fontId="19" fillId="3" borderId="0" xfId="0" applyFont="1" applyFill="1">
      <alignment vertical="center"/>
    </xf>
    <xf numFmtId="0" fontId="19" fillId="0" borderId="0" xfId="0" applyFont="1" applyAlignment="1"/>
    <xf numFmtId="0" fontId="19" fillId="0" borderId="0" xfId="0" applyFont="1">
      <alignment vertical="center"/>
    </xf>
    <xf numFmtId="0" fontId="20" fillId="8" borderId="0" xfId="0" applyFont="1" applyFill="1">
      <alignment vertical="center"/>
    </xf>
    <xf numFmtId="9" fontId="20" fillId="8" borderId="0" xfId="1" applyFont="1" applyFill="1" applyAlignment="1">
      <alignment vertical="center"/>
    </xf>
    <xf numFmtId="165" fontId="20" fillId="8" borderId="0" xfId="0" applyNumberFormat="1" applyFont="1" applyFill="1">
      <alignment vertical="center"/>
    </xf>
    <xf numFmtId="166" fontId="20" fillId="8" borderId="0" xfId="0" applyNumberFormat="1" applyFont="1" applyFill="1">
      <alignment vertical="center"/>
    </xf>
    <xf numFmtId="0" fontId="0" fillId="0" borderId="0" xfId="0" applyAlignment="1">
      <alignment horizontal="center"/>
    </xf>
    <xf numFmtId="0" fontId="0" fillId="0" borderId="0" xfId="0" applyAlignment="1">
      <alignment horizontal="center" vertical="center"/>
    </xf>
    <xf numFmtId="0" fontId="0" fillId="3" borderId="1" xfId="0" applyFill="1" applyBorder="1" applyAlignment="1">
      <alignment horizontal="center"/>
    </xf>
    <xf numFmtId="0" fontId="18" fillId="3" borderId="0" xfId="0" applyFont="1" applyFill="1" applyAlignment="1">
      <alignment horizontal="center" vertical="center"/>
    </xf>
    <xf numFmtId="0" fontId="0" fillId="3" borderId="1" xfId="0" applyFill="1" applyBorder="1" applyAlignment="1">
      <alignment horizontal="center" vertical="center"/>
    </xf>
    <xf numFmtId="0" fontId="21" fillId="4" borderId="1" xfId="0" applyFont="1" applyFill="1" applyBorder="1" applyAlignment="1">
      <alignment horizontal="center" vertical="center"/>
    </xf>
    <xf numFmtId="167"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0" xfId="0" applyNumberFormat="1" applyAlignment="1">
      <alignment horizontal="center" vertical="center"/>
    </xf>
    <xf numFmtId="18" fontId="0" fillId="0" borderId="0" xfId="0" applyNumberFormat="1" applyAlignment="1">
      <alignment horizontal="center" vertical="center"/>
    </xf>
    <xf numFmtId="18" fontId="0" fillId="0" borderId="0" xfId="0" applyNumberFormat="1">
      <alignment vertical="center"/>
    </xf>
    <xf numFmtId="0" fontId="23" fillId="2" borderId="0" xfId="0" applyFont="1" applyFill="1">
      <alignment vertical="center"/>
    </xf>
    <xf numFmtId="0" fontId="0" fillId="0" borderId="0" xfId="0" applyAlignment="1">
      <alignment horizontal="left" vertical="center"/>
    </xf>
    <xf numFmtId="2" fontId="0" fillId="0" borderId="0" xfId="0" applyNumberFormat="1">
      <alignment vertical="center"/>
    </xf>
    <xf numFmtId="0" fontId="24" fillId="4" borderId="0" xfId="0" applyFont="1" applyFill="1">
      <alignment vertical="center"/>
    </xf>
    <xf numFmtId="0" fontId="25" fillId="9" borderId="0" xfId="0" applyFont="1" applyFill="1">
      <alignment vertical="center"/>
    </xf>
    <xf numFmtId="0" fontId="0" fillId="0" borderId="0" xfId="0" pivotButton="1">
      <alignment vertical="center"/>
    </xf>
    <xf numFmtId="0" fontId="27" fillId="7" borderId="0" xfId="0" applyFont="1" applyFill="1">
      <alignment vertical="center"/>
    </xf>
    <xf numFmtId="0" fontId="27" fillId="7" borderId="0" xfId="0" applyFont="1" applyFill="1" applyAlignment="1">
      <alignment horizontal="left" vertical="center"/>
    </xf>
    <xf numFmtId="2" fontId="27" fillId="7" borderId="0" xfId="0" applyNumberFormat="1" applyFont="1" applyFill="1">
      <alignment vertical="center"/>
    </xf>
    <xf numFmtId="2" fontId="12" fillId="5" borderId="0" xfId="0" applyNumberFormat="1" applyFont="1" applyFill="1" applyAlignment="1">
      <alignment horizontal="center" vertical="center"/>
    </xf>
    <xf numFmtId="0" fontId="26" fillId="3" borderId="0" xfId="0" applyFont="1" applyFill="1" applyAlignment="1">
      <alignment horizontal="center" vertical="center"/>
    </xf>
    <xf numFmtId="0" fontId="26" fillId="3" borderId="0" xfId="0" applyFont="1" applyFill="1">
      <alignment vertical="center"/>
    </xf>
    <xf numFmtId="0" fontId="5" fillId="3" borderId="0" xfId="0" applyFont="1" applyFill="1" applyAlignment="1">
      <alignment horizontal="center" vertical="center"/>
    </xf>
    <xf numFmtId="0" fontId="6" fillId="3" borderId="0" xfId="0" applyFont="1" applyFill="1" applyAlignment="1">
      <alignment horizontal="center" vertical="center"/>
    </xf>
    <xf numFmtId="0" fontId="0" fillId="0" borderId="0" xfId="0" applyNumberFormat="1">
      <alignment vertical="center"/>
    </xf>
    <xf numFmtId="0" fontId="27" fillId="7" borderId="0" xfId="0" applyNumberFormat="1" applyFont="1" applyFill="1">
      <alignment vertical="center"/>
    </xf>
    <xf numFmtId="0" fontId="28" fillId="7" borderId="0" xfId="0" applyFont="1" applyFill="1">
      <alignment vertical="center"/>
    </xf>
    <xf numFmtId="0" fontId="28" fillId="7" borderId="0" xfId="0" applyFont="1" applyFill="1" applyAlignment="1">
      <alignment horizontal="left" vertical="center"/>
    </xf>
    <xf numFmtId="0" fontId="28" fillId="7" borderId="0" xfId="0" applyNumberFormat="1" applyFont="1" applyFill="1">
      <alignment vertical="center"/>
    </xf>
  </cellXfs>
  <cellStyles count="2">
    <cellStyle name="Normal" xfId="0" builtinId="0"/>
    <cellStyle name="Percent" xfId="1" builtinId="5"/>
  </cellStyles>
  <dxfs count="1912">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ill>
        <patternFill patternType="solid">
          <bgColor theme="8" tint="-0.499984740745262"/>
        </patternFill>
      </fill>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amily val="2"/>
      </font>
    </dxf>
    <dxf>
      <font>
        <b/>
        <family val="2"/>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ont>
        <b/>
        <family val="2"/>
      </font>
    </dxf>
    <dxf>
      <font>
        <b/>
        <family val="2"/>
      </font>
    </dxf>
    <dxf>
      <fill>
        <patternFill patternType="solid">
          <bgColor theme="8" tint="-0.499984740745262"/>
        </patternFill>
      </fill>
    </dxf>
    <dxf>
      <fill>
        <patternFill patternType="solid">
          <bgColor theme="8" tint="-0.499984740745262"/>
        </patternFill>
      </fill>
    </dxf>
    <dxf>
      <font>
        <color theme="0"/>
      </font>
    </dxf>
    <dxf>
      <font>
        <color theme="0"/>
      </font>
    </dxf>
    <dxf>
      <fill>
        <patternFill patternType="solid">
          <bgColor theme="8" tint="-0.499984740745262"/>
        </patternFill>
      </fill>
    </dxf>
    <dxf>
      <fill>
        <patternFill patternType="solid">
          <bgColor theme="8" tint="-0.499984740745262"/>
        </patternFill>
      </fill>
    </dxf>
    <dxf>
      <font>
        <color theme="0"/>
      </font>
    </dxf>
    <dxf>
      <font>
        <color theme="0"/>
      </font>
    </dxf>
    <dxf>
      <font>
        <b/>
      </font>
    </dxf>
    <dxf>
      <font>
        <b/>
      </font>
    </dxf>
    <dxf>
      <fill>
        <patternFill patternType="solid">
          <bgColor theme="8" tint="-0.499984740745262"/>
        </patternFill>
      </fill>
    </dxf>
    <dxf>
      <font>
        <color theme="0"/>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ont>
        <b/>
        <family val="2"/>
      </font>
    </dxf>
    <dxf>
      <font>
        <b/>
        <family val="2"/>
      </font>
    </dxf>
    <dxf>
      <font>
        <b/>
        <family val="2"/>
      </font>
    </dxf>
    <dxf>
      <font>
        <b/>
        <family val="2"/>
      </font>
    </dxf>
    <dxf>
      <font>
        <color theme="0"/>
      </font>
    </dxf>
    <dxf>
      <font>
        <color theme="0"/>
      </font>
    </dxf>
    <dxf>
      <font>
        <color theme="0"/>
      </font>
    </dxf>
    <dxf>
      <font>
        <color theme="0"/>
      </font>
    </dxf>
    <dxf>
      <font>
        <color theme="0"/>
      </font>
    </dxf>
    <dxf>
      <font>
        <color theme="0"/>
      </font>
    </dxf>
    <dxf>
      <font>
        <color theme="0"/>
      </font>
    </dxf>
    <dxf>
      <font>
        <color theme="0"/>
      </font>
    </dxf>
    <dxf>
      <font>
        <b/>
        <family val="2"/>
      </font>
    </dxf>
    <dxf>
      <font>
        <b/>
        <family val="2"/>
      </font>
    </dxf>
    <dxf>
      <font>
        <b/>
        <family val="2"/>
      </font>
    </dxf>
    <dxf>
      <font>
        <b/>
        <family val="2"/>
      </font>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b/>
        <family val="2"/>
      </font>
    </dxf>
    <dxf>
      <font>
        <b/>
        <family val="2"/>
      </font>
    </dxf>
    <dxf>
      <font>
        <b/>
        <family val="2"/>
      </font>
    </dxf>
    <dxf>
      <font>
        <b/>
        <family val="2"/>
      </font>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8" tint="-0.499984740745262"/>
        </patternFill>
      </fill>
    </dxf>
    <dxf>
      <fill>
        <patternFill patternType="solid">
          <bgColor theme="8" tint="-0.499984740745262"/>
        </patternFill>
      </fill>
    </dxf>
    <dxf>
      <font>
        <color theme="0"/>
      </font>
    </dxf>
    <dxf>
      <font>
        <color theme="0"/>
      </font>
    </dxf>
    <dxf>
      <font>
        <b/>
        <family val="2"/>
      </font>
    </dxf>
    <dxf>
      <font>
        <b/>
        <family val="2"/>
      </font>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ill>
        <patternFill patternType="solid">
          <bgColor theme="8" tint="-0.499984740745262"/>
        </patternFill>
      </fill>
    </dxf>
    <dxf>
      <font>
        <color theme="0"/>
      </font>
    </dxf>
    <dxf>
      <fill>
        <patternFill patternType="solid">
          <bgColor theme="8" tint="-0.499984740745262"/>
        </patternFill>
      </fill>
    </dxf>
    <dxf>
      <font>
        <b/>
        <family val="2"/>
      </font>
    </dxf>
    <dxf>
      <font>
        <b/>
      </font>
    </dxf>
    <dxf>
      <font>
        <b/>
      </font>
    </dxf>
    <dxf>
      <font>
        <color theme="0"/>
      </font>
    </dxf>
    <dxf>
      <font>
        <color theme="0"/>
      </font>
    </dxf>
    <dxf>
      <fill>
        <patternFill patternType="solid">
          <bgColor theme="8" tint="-0.499984740745262"/>
        </patternFill>
      </fill>
    </dxf>
    <dxf>
      <fill>
        <patternFill patternType="solid">
          <bgColor theme="8" tint="-0.499984740745262"/>
        </patternFill>
      </fill>
    </dxf>
    <dxf>
      <numFmt numFmtId="2" formatCode="0.00"/>
    </dxf>
    <dxf>
      <numFmt numFmtId="2" formatCode="0.00"/>
    </dxf>
    <dxf>
      <font>
        <color theme="0"/>
      </font>
    </dxf>
    <dxf>
      <font>
        <color theme="0"/>
      </font>
    </dxf>
    <dxf>
      <fill>
        <patternFill patternType="solid">
          <bgColor theme="8" tint="-0.499984740745262"/>
        </patternFill>
      </fill>
    </dxf>
    <dxf>
      <fill>
        <patternFill patternType="solid">
          <bgColor theme="8" tint="-0.499984740745262"/>
        </patternFill>
      </fill>
    </dxf>
    <dxf>
      <font>
        <b/>
        <family val="2"/>
      </font>
    </dxf>
    <dxf>
      <font>
        <b/>
        <family val="2"/>
      </font>
    </dxf>
    <dxf>
      <font>
        <b/>
      </font>
    </dxf>
    <dxf>
      <font>
        <b/>
      </font>
    </dxf>
    <dxf>
      <font>
        <color theme="0"/>
      </font>
    </dxf>
    <dxf>
      <font>
        <color theme="0"/>
      </font>
    </dxf>
    <dxf>
      <fill>
        <patternFill patternType="solid">
          <bgColor theme="8" tint="-0.499984740745262"/>
        </patternFill>
      </fill>
    </dxf>
    <dxf>
      <fill>
        <patternFill patternType="solid">
          <bgColor theme="8" tint="-0.499984740745262"/>
        </patternFill>
      </fill>
    </dxf>
    <dxf>
      <font>
        <b/>
      </font>
    </dxf>
    <dxf>
      <font>
        <color theme="0"/>
      </font>
    </dxf>
    <dxf>
      <fill>
        <patternFill patternType="solid">
          <bgColor theme="8" tint="-0.499984740745262"/>
        </patternFill>
      </fill>
    </dxf>
    <dxf>
      <font>
        <b/>
      </font>
    </dxf>
    <dxf>
      <font>
        <b/>
      </font>
    </dxf>
    <dxf>
      <font>
        <color theme="0"/>
      </font>
    </dxf>
    <dxf>
      <font>
        <color theme="0"/>
      </font>
    </dxf>
    <dxf>
      <fill>
        <patternFill patternType="solid">
          <bgColor theme="8" tint="-0.499984740745262"/>
        </patternFill>
      </fill>
    </dxf>
    <dxf>
      <fill>
        <patternFill patternType="solid">
          <bgColor theme="8" tint="-0.499984740745262"/>
        </patternFill>
      </fill>
    </dxf>
    <dxf>
      <font>
        <sz val="12"/>
      </font>
      <numFmt numFmtId="166" formatCode="0.0%"/>
      <fill>
        <patternFill patternType="solid">
          <bgColor theme="0" tint="-4.9989318521683403E-2"/>
        </patternFill>
      </fill>
    </dxf>
    <dxf>
      <font>
        <sz val="12"/>
      </font>
      <numFmt numFmtId="0" formatCode="General"/>
      <fill>
        <patternFill patternType="solid">
          <bgColor theme="0" tint="-4.9989318521683403E-2"/>
        </patternFill>
      </fill>
    </dxf>
    <dxf>
      <font>
        <sz val="12"/>
      </font>
      <numFmt numFmtId="0" formatCode="General"/>
      <fill>
        <patternFill patternType="solid">
          <bgColor theme="0" tint="-4.9989318521683403E-2"/>
        </patternFill>
      </fill>
    </dxf>
    <dxf>
      <font>
        <sz val="12"/>
      </font>
      <numFmt numFmtId="165" formatCode="0.0"/>
      <fill>
        <patternFill patternType="solid">
          <bgColor theme="0" tint="-4.9989318521683403E-2"/>
        </patternFill>
      </fill>
    </dxf>
    <dxf>
      <font>
        <sz val="12"/>
      </font>
      <numFmt numFmtId="0" formatCode="General"/>
      <fill>
        <patternFill patternType="solid">
          <bgColor theme="0" tint="-4.9989318521683403E-2"/>
        </patternFill>
      </fill>
    </dxf>
    <dxf>
      <font>
        <sz val="12"/>
      </font>
      <numFmt numFmtId="164" formatCode="0.00_);[Red]\(0.00\)"/>
      <fill>
        <patternFill patternType="solid">
          <bgColor theme="0" tint="-4.9989318521683403E-2"/>
        </patternFill>
      </fill>
    </dxf>
    <dxf>
      <font>
        <sz val="12"/>
      </font>
      <numFmt numFmtId="0" formatCode="General"/>
      <fill>
        <patternFill patternType="solid">
          <bgColor theme="0" tint="-4.9989318521683403E-2"/>
        </patternFill>
      </fill>
    </dxf>
    <dxf>
      <font>
        <sz val="12"/>
      </font>
      <numFmt numFmtId="0" formatCode="General"/>
      <fill>
        <patternFill patternType="solid">
          <bgColor theme="0" tint="-4.9989318521683403E-2"/>
        </patternFill>
      </fill>
    </dxf>
    <dxf>
      <font>
        <sz val="12"/>
      </font>
      <numFmt numFmtId="0" formatCode="General"/>
      <fill>
        <patternFill patternType="solid">
          <bgColor theme="0" tint="-4.9989318521683403E-2"/>
        </patternFill>
      </fill>
    </dxf>
    <dxf>
      <font>
        <sz val="14"/>
      </font>
      <fill>
        <patternFill patternType="solid">
          <bgColor theme="4" tint="-0.499984740745262"/>
        </patternFill>
      </fill>
    </dxf>
    <dxf>
      <numFmt numFmtId="0" formatCode="General"/>
      <alignment horizontal="center"/>
    </dxf>
    <dxf>
      <alignment horizontal="center"/>
    </dxf>
    <dxf>
      <alignment horizontal="center"/>
    </dxf>
    <dxf>
      <numFmt numFmtId="0" formatCode="General"/>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name val="Calibri"/>
        <scheme val="none"/>
      </font>
      <fill>
        <patternFill patternType="solid">
          <bgColor theme="0"/>
        </patternFill>
      </fill>
      <alignment horizontal="center"/>
    </dxf>
    <dxf>
      <numFmt numFmtId="0" formatCode="General"/>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3" formatCode="h:mm\ AM/PM"/>
      <alignment horizontal="center"/>
    </dxf>
    <dxf>
      <numFmt numFmtId="19" formatCode="dd/mm/yyyy"/>
      <alignment horizontal="center"/>
    </dxf>
    <dxf>
      <alignment horizontal="center"/>
    </dxf>
    <dxf>
      <font>
        <strike val="0"/>
        <outline val="0"/>
        <shadow val="0"/>
        <u val="none"/>
        <vertAlign val="baseline"/>
        <sz val="11"/>
        <color theme="0"/>
        <name val="Calibri"/>
        <charset val="134"/>
        <scheme val="minor"/>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4" tint="-0.249977111117893"/>
      </font>
    </dxf>
    <dxf>
      <font>
        <b/>
        <color theme="0"/>
      </font>
      <fill>
        <patternFill patternType="solid">
          <fgColor theme="4"/>
          <bgColor theme="4"/>
        </patternFill>
      </fill>
    </dxf>
    <dxf>
      <font>
        <b/>
        <color theme="4" tint="-0.499984740745262"/>
      </font>
      <fill>
        <patternFill patternType="solid">
          <fgColor theme="4" tint="0.79995117038483843"/>
          <bgColor theme="4" tint="0.79995117038483843"/>
        </patternFill>
      </fill>
      <border>
        <left style="thin">
          <color theme="4"/>
        </left>
        <right style="thin">
          <color theme="4"/>
        </right>
        <top style="medium">
          <color theme="4"/>
        </top>
        <bottom style="thin">
          <color theme="4"/>
        </bottom>
        <vertical style="thin">
          <color theme="4" tint="0.79995117038483843"/>
        </vertical>
      </border>
    </dxf>
    <dxf>
      <font>
        <b/>
        <color theme="0"/>
      </font>
      <fill>
        <patternFill patternType="solid">
          <fgColor theme="4"/>
          <bgColor theme="4"/>
        </patternFill>
      </fill>
      <border>
        <left style="thin">
          <color theme="4"/>
        </left>
        <right style="thin">
          <color theme="4"/>
        </right>
        <top style="thin">
          <color theme="4"/>
        </top>
        <bottom style="thin">
          <color theme="0"/>
        </bottom>
        <vertical style="thin">
          <color theme="0"/>
        </vertical>
      </border>
    </dxf>
    <dxf>
      <font>
        <color theme="1"/>
      </font>
      <border>
        <left style="thin">
          <color theme="4"/>
        </left>
        <right style="thin">
          <color theme="4"/>
        </right>
        <top style="thin">
          <color theme="4"/>
        </top>
        <bottom style="thin">
          <color theme="4"/>
        </bottom>
        <vertical style="thin">
          <color theme="0"/>
        </vertical>
        <horizontal style="thin">
          <color theme="0"/>
        </horizontal>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fill>
        <patternFill patternType="solid">
          <fgColor theme="4" tint="0.79995117038483843"/>
          <bgColor theme="4" tint="0.79995117038483843"/>
        </patternFill>
      </fill>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4" defaultTableStyle="TableStylePreset3_Accent1" defaultPivotStyle="PivotStylePreset2_Accent1">
    <tableStyle name="TableStylePreset3_Accent1" pivot="0" count="7" xr9:uid="{59DB682C-5494-4EDE-A608-00C9E5F0F923}">
      <tableStyleElement type="wholeTable" dxfId="1911"/>
      <tableStyleElement type="headerRow" dxfId="1910"/>
      <tableStyleElement type="totalRow" dxfId="1909"/>
      <tableStyleElement type="firstColumn" dxfId="1908"/>
      <tableStyleElement type="lastColumn" dxfId="1907"/>
      <tableStyleElement type="firstRowStripe" dxfId="1906"/>
      <tableStyleElement type="firstColumnStripe" dxfId="1905"/>
    </tableStyle>
    <tableStyle name="TableStylePreset8_Accent1" pivot="0" count="9" xr9:uid="{C16462FB-CDE6-4BB5-BAFA-1372A3CEEFCD}">
      <tableStyleElement type="wholeTable" dxfId="1904"/>
      <tableStyleElement type="headerRow" dxfId="1903"/>
      <tableStyleElement type="totalRow" dxfId="1902"/>
      <tableStyleElement type="firstColumn" dxfId="1901"/>
      <tableStyleElement type="lastColumn" dxfId="1900"/>
      <tableStyleElement type="firstRowStripe" dxfId="1899"/>
      <tableStyleElement type="secondRowStripe" dxfId="1898"/>
      <tableStyleElement type="firstColumnStripe" dxfId="1897"/>
      <tableStyleElement type="secondColumnStripe" dxfId="1896"/>
    </tableStyle>
    <tableStyle name="TableStylePreset11_Accent1" pivot="0" count="7" xr9:uid="{CD7BBC66-7B44-4B59-B880-05322B0760B7}">
      <tableStyleElement type="wholeTable" dxfId="1895"/>
      <tableStyleElement type="headerRow" dxfId="1894"/>
      <tableStyleElement type="totalRow" dxfId="1893"/>
      <tableStyleElement type="firstColumn" dxfId="1892"/>
      <tableStyleElement type="lastColumn" dxfId="1891"/>
      <tableStyleElement type="firstRowStripe" dxfId="1890"/>
      <tableStyleElement type="firstColumnStripe" dxfId="1889"/>
    </tableStyle>
    <tableStyle name="PivotStylePreset2_Accent1" table="0" count="10" xr9:uid="{267968C8-6FFD-4C36-ACC1-9EA1FD1885CA}">
      <tableStyleElement type="headerRow" dxfId="1888"/>
      <tableStyleElement type="totalRow" dxfId="1887"/>
      <tableStyleElement type="firstRowStripe" dxfId="1886"/>
      <tableStyleElement type="firstColumnStripe" dxfId="1885"/>
      <tableStyleElement type="firstSubtotalRow" dxfId="1884"/>
      <tableStyleElement type="secondSubtotalRow" dxfId="1883"/>
      <tableStyleElement type="firstRowSubheading" dxfId="1882"/>
      <tableStyleElement type="secondRowSubheading" dxfId="1881"/>
      <tableStyleElement type="pageFieldLabels" dxfId="1880"/>
      <tableStyleElement type="pageFieldValues" dxfId="1879"/>
    </tableStyle>
  </tableStyles>
  <colors>
    <mruColors>
      <color rgb="FF3B6790"/>
      <color rgb="FF7EABDA"/>
      <color rgb="FF98B9E0"/>
      <color rgb="FFBFD2EA"/>
      <color rgb="FFFE8FFF"/>
      <color rgb="FF4A7FB0"/>
      <color rgb="FFE8F7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[CricketWC_2023 Project.xlsx]Pivot Table!PivotTable2</c:name>
    <c:fmtId val="3"/>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hade val="41000"/>
            </a:schemeClr>
          </a:solidFill>
          <a:ln w="19050">
            <a:solidFill>
              <a:schemeClr val="lt1"/>
            </a:solidFill>
          </a:ln>
          <a:effectLst/>
        </c:spPr>
      </c:pivotFmt>
      <c:pivotFmt>
        <c:idx val="15"/>
        <c:spPr>
          <a:solidFill>
            <a:schemeClr val="accent5">
              <a:shade val="53000"/>
            </a:schemeClr>
          </a:solidFill>
          <a:ln w="19050">
            <a:solidFill>
              <a:schemeClr val="lt1"/>
            </a:solidFill>
          </a:ln>
          <a:effectLst/>
        </c:spPr>
      </c:pivotFmt>
      <c:pivotFmt>
        <c:idx val="16"/>
        <c:spPr>
          <a:solidFill>
            <a:schemeClr val="accent5">
              <a:shade val="65000"/>
            </a:schemeClr>
          </a:solidFill>
          <a:ln w="19050">
            <a:solidFill>
              <a:schemeClr val="lt1"/>
            </a:solidFill>
          </a:ln>
          <a:effectLst/>
        </c:spPr>
      </c:pivotFmt>
      <c:pivotFmt>
        <c:idx val="17"/>
        <c:spPr>
          <a:solidFill>
            <a:schemeClr val="accent5">
              <a:shade val="76000"/>
            </a:schemeClr>
          </a:solidFill>
          <a:ln w="19050">
            <a:solidFill>
              <a:schemeClr val="lt1"/>
            </a:solidFill>
          </a:ln>
          <a:effectLst/>
        </c:spPr>
      </c:pivotFmt>
      <c:pivotFmt>
        <c:idx val="18"/>
        <c:spPr>
          <a:solidFill>
            <a:schemeClr val="accent5">
              <a:shade val="88000"/>
            </a:schemeClr>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tint val="89000"/>
            </a:schemeClr>
          </a:solidFill>
          <a:ln w="19050">
            <a:solidFill>
              <a:schemeClr val="lt1"/>
            </a:solidFill>
          </a:ln>
          <a:effectLst/>
        </c:spPr>
      </c:pivotFmt>
      <c:pivotFmt>
        <c:idx val="21"/>
        <c:spPr>
          <a:solidFill>
            <a:schemeClr val="accent5">
              <a:tint val="77000"/>
            </a:schemeClr>
          </a:solidFill>
          <a:ln w="19050">
            <a:solidFill>
              <a:schemeClr val="lt1"/>
            </a:solidFill>
          </a:ln>
          <a:effectLst/>
        </c:spPr>
      </c:pivotFmt>
      <c:pivotFmt>
        <c:idx val="22"/>
        <c:spPr>
          <a:solidFill>
            <a:schemeClr val="accent5">
              <a:tint val="65000"/>
            </a:schemeClr>
          </a:solidFill>
          <a:ln w="19050">
            <a:solidFill>
              <a:schemeClr val="lt1"/>
            </a:solidFill>
          </a:ln>
          <a:effectLst/>
        </c:spPr>
      </c:pivotFmt>
      <c:pivotFmt>
        <c:idx val="23"/>
        <c:spPr>
          <a:solidFill>
            <a:schemeClr val="accent5">
              <a:tint val="54000"/>
            </a:schemeClr>
          </a:solidFill>
          <a:ln w="19050">
            <a:solidFill>
              <a:schemeClr val="lt1"/>
            </a:solidFill>
          </a:ln>
          <a:effectLst/>
        </c:spPr>
      </c:pivotFmt>
      <c:pivotFmt>
        <c:idx val="24"/>
        <c:spPr>
          <a:solidFill>
            <a:schemeClr val="accent5">
              <a:tint val="42000"/>
            </a:schemeClr>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5">
                  <a:shade val="41000"/>
                </a:schemeClr>
              </a:solidFill>
              <a:ln w="19050">
                <a:solidFill>
                  <a:schemeClr val="lt1"/>
                </a:solidFill>
              </a:ln>
              <a:effectLst/>
            </c:spPr>
            <c:extLst>
              <c:ext xmlns:c16="http://schemas.microsoft.com/office/drawing/2014/chart" uri="{C3380CC4-5D6E-409C-BE32-E72D297353CC}">
                <c16:uniqueId val="{00000001-36F1-4944-9439-0AE83C5E8CC4}"/>
              </c:ext>
            </c:extLst>
          </c:dPt>
          <c:dPt>
            <c:idx val="1"/>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3-36F1-4944-9439-0AE83C5E8CC4}"/>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36F1-4944-9439-0AE83C5E8CC4}"/>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36F1-4944-9439-0AE83C5E8CC4}"/>
              </c:ext>
            </c:extLst>
          </c:dPt>
          <c:dPt>
            <c:idx val="4"/>
            <c:bubble3D val="0"/>
            <c:spPr>
              <a:solidFill>
                <a:schemeClr val="accent5">
                  <a:shade val="88000"/>
                </a:schemeClr>
              </a:solidFill>
              <a:ln w="19050">
                <a:solidFill>
                  <a:schemeClr val="lt1"/>
                </a:solidFill>
              </a:ln>
              <a:effectLst/>
            </c:spPr>
            <c:extLst>
              <c:ext xmlns:c16="http://schemas.microsoft.com/office/drawing/2014/chart" uri="{C3380CC4-5D6E-409C-BE32-E72D297353CC}">
                <c16:uniqueId val="{00000009-36F1-4944-9439-0AE83C5E8CC4}"/>
              </c:ext>
            </c:extLst>
          </c:dPt>
          <c:dPt>
            <c:idx val="5"/>
            <c:bubble3D val="0"/>
            <c:spPr>
              <a:solidFill>
                <a:schemeClr val="accent5"/>
              </a:solidFill>
              <a:ln w="19050">
                <a:solidFill>
                  <a:schemeClr val="lt1"/>
                </a:solidFill>
              </a:ln>
              <a:effectLst/>
            </c:spPr>
            <c:extLst>
              <c:ext xmlns:c16="http://schemas.microsoft.com/office/drawing/2014/chart" uri="{C3380CC4-5D6E-409C-BE32-E72D297353CC}">
                <c16:uniqueId val="{0000000B-36F1-4944-9439-0AE83C5E8CC4}"/>
              </c:ext>
            </c:extLst>
          </c:dPt>
          <c:dPt>
            <c:idx val="6"/>
            <c:bubble3D val="0"/>
            <c:spPr>
              <a:solidFill>
                <a:schemeClr val="accent5">
                  <a:tint val="89000"/>
                </a:schemeClr>
              </a:solidFill>
              <a:ln w="19050">
                <a:solidFill>
                  <a:schemeClr val="lt1"/>
                </a:solidFill>
              </a:ln>
              <a:effectLst/>
            </c:spPr>
            <c:extLst>
              <c:ext xmlns:c16="http://schemas.microsoft.com/office/drawing/2014/chart" uri="{C3380CC4-5D6E-409C-BE32-E72D297353CC}">
                <c16:uniqueId val="{0000000D-36F1-4944-9439-0AE83C5E8CC4}"/>
              </c:ext>
            </c:extLst>
          </c:dPt>
          <c:dPt>
            <c:idx val="7"/>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F-36F1-4944-9439-0AE83C5E8CC4}"/>
              </c:ext>
            </c:extLst>
          </c:dPt>
          <c:dPt>
            <c:idx val="8"/>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11-36F1-4944-9439-0AE83C5E8CC4}"/>
              </c:ext>
            </c:extLst>
          </c:dPt>
          <c:dPt>
            <c:idx val="9"/>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13-36F1-4944-9439-0AE83C5E8CC4}"/>
              </c:ext>
            </c:extLst>
          </c:dPt>
          <c:dPt>
            <c:idx val="10"/>
            <c:bubble3D val="0"/>
            <c:spPr>
              <a:solidFill>
                <a:schemeClr val="accent5">
                  <a:tint val="42000"/>
                </a:schemeClr>
              </a:solidFill>
              <a:ln w="19050">
                <a:solidFill>
                  <a:schemeClr val="lt1"/>
                </a:solidFill>
              </a:ln>
              <a:effectLst/>
            </c:spPr>
            <c:extLst>
              <c:ext xmlns:c16="http://schemas.microsoft.com/office/drawing/2014/chart" uri="{C3380CC4-5D6E-409C-BE32-E72D297353CC}">
                <c16:uniqueId val="{00000015-36F1-4944-9439-0AE83C5E8C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Table'!$A$4:$A$15</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Table'!$B$4:$B$15</c:f>
              <c:numCache>
                <c:formatCode>General</c:formatCode>
                <c:ptCount val="11"/>
                <c:pt idx="0">
                  <c:v>2093</c:v>
                </c:pt>
                <c:pt idx="1">
                  <c:v>3086</c:v>
                </c:pt>
                <c:pt idx="2">
                  <c:v>2142</c:v>
                </c:pt>
                <c:pt idx="3">
                  <c:v>1992</c:v>
                </c:pt>
                <c:pt idx="4">
                  <c:v>3160</c:v>
                </c:pt>
                <c:pt idx="5">
                  <c:v>1937</c:v>
                </c:pt>
                <c:pt idx="6">
                  <c:v>2863</c:v>
                </c:pt>
                <c:pt idx="7">
                  <c:v>2420</c:v>
                </c:pt>
                <c:pt idx="8">
                  <c:v>2897</c:v>
                </c:pt>
                <c:pt idx="9">
                  <c:v>2049</c:v>
                </c:pt>
              </c:numCache>
            </c:numRef>
          </c:val>
          <c:extLst>
            <c:ext xmlns:c16="http://schemas.microsoft.com/office/drawing/2014/chart" uri="{C3380CC4-5D6E-409C-BE32-E72D297353CC}">
              <c16:uniqueId val="{00000016-36F1-4944-9439-0AE83C5E8C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[CricketWC_2023 Project.xlsx]Pivot Table!PivotTable3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Table'!$D$4:$D$15</c:f>
              <c:strCache>
                <c:ptCount val="11"/>
                <c:pt idx="0">
                  <c:v>Arun Jaitley Stadium</c:v>
                </c:pt>
                <c:pt idx="1">
                  <c:v>BRSABV Ekana Cricket Stadium</c:v>
                </c:pt>
                <c:pt idx="2">
                  <c:v>Eden Gardens</c:v>
                </c:pt>
                <c:pt idx="3">
                  <c:v>HPCA Stadium</c:v>
                </c:pt>
                <c:pt idx="4">
                  <c:v>M. A. Chidambaram Stadium</c:v>
                </c:pt>
                <c:pt idx="5">
                  <c:v>M. Chinnaswamy Stadium</c:v>
                </c:pt>
                <c:pt idx="6">
                  <c:v>Maharashtra Cricket Association Stadium</c:v>
                </c:pt>
                <c:pt idx="7">
                  <c:v>Narendra Modi Stadium</c:v>
                </c:pt>
                <c:pt idx="8">
                  <c:v>Rajiv Gandhi International Stadium</c:v>
                </c:pt>
                <c:pt idx="9">
                  <c:v>Wankhede Stadium</c:v>
                </c:pt>
                <c:pt idx="10">
                  <c:v>(blank)</c:v>
                </c:pt>
              </c:strCache>
            </c:strRef>
          </c:cat>
          <c:val>
            <c:numRef>
              <c:f>'Pivot Table'!$E$4:$E$15</c:f>
              <c:numCache>
                <c:formatCode>General</c:formatCode>
                <c:ptCount val="11"/>
                <c:pt idx="0">
                  <c:v>284.8</c:v>
                </c:pt>
                <c:pt idx="1">
                  <c:v>215.5</c:v>
                </c:pt>
                <c:pt idx="2">
                  <c:v>224</c:v>
                </c:pt>
                <c:pt idx="3">
                  <c:v>267.5</c:v>
                </c:pt>
                <c:pt idx="4">
                  <c:v>242.9</c:v>
                </c:pt>
                <c:pt idx="5">
                  <c:v>259.2</c:v>
                </c:pt>
                <c:pt idx="6">
                  <c:v>265.5</c:v>
                </c:pt>
                <c:pt idx="7">
                  <c:v>245.9</c:v>
                </c:pt>
                <c:pt idx="8">
                  <c:v>308.5</c:v>
                </c:pt>
                <c:pt idx="9">
                  <c:v>290.39999999999998</c:v>
                </c:pt>
              </c:numCache>
            </c:numRef>
          </c:val>
          <c:smooth val="0"/>
          <c:extLst>
            <c:ext xmlns:c16="http://schemas.microsoft.com/office/drawing/2014/chart" uri="{C3380CC4-5D6E-409C-BE32-E72D297353CC}">
              <c16:uniqueId val="{00000000-3B4F-4764-8F43-A531F02ACBAB}"/>
            </c:ext>
          </c:extLst>
        </c:ser>
        <c:dLbls>
          <c:dLblPos val="t"/>
          <c:showLegendKey val="0"/>
          <c:showVal val="1"/>
          <c:showCatName val="0"/>
          <c:showSerName val="0"/>
          <c:showPercent val="0"/>
          <c:showBubbleSize val="0"/>
        </c:dLbls>
        <c:marker val="1"/>
        <c:smooth val="0"/>
        <c:axId val="1168972287"/>
        <c:axId val="2142563119"/>
      </c:lineChart>
      <c:catAx>
        <c:axId val="116897228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42563119"/>
        <c:crosses val="autoZero"/>
        <c:auto val="1"/>
        <c:lblAlgn val="ctr"/>
        <c:lblOffset val="100"/>
        <c:noMultiLvlLbl val="0"/>
      </c:catAx>
      <c:valAx>
        <c:axId val="214256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97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[CricketWC_2023 Project.xlsx]Pivot 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Table'!$A$18:$A$29</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Table'!$B$18:$B$29</c:f>
              <c:numCache>
                <c:formatCode>General</c:formatCode>
                <c:ptCount val="11"/>
                <c:pt idx="0">
                  <c:v>220</c:v>
                </c:pt>
                <c:pt idx="1">
                  <c:v>384</c:v>
                </c:pt>
                <c:pt idx="2">
                  <c:v>231</c:v>
                </c:pt>
                <c:pt idx="3">
                  <c:v>257</c:v>
                </c:pt>
                <c:pt idx="4">
                  <c:v>369</c:v>
                </c:pt>
                <c:pt idx="5">
                  <c:v>197</c:v>
                </c:pt>
                <c:pt idx="6">
                  <c:v>348</c:v>
                </c:pt>
                <c:pt idx="7">
                  <c:v>290</c:v>
                </c:pt>
                <c:pt idx="8">
                  <c:v>341</c:v>
                </c:pt>
                <c:pt idx="9">
                  <c:v>248</c:v>
                </c:pt>
              </c:numCache>
            </c:numRef>
          </c:val>
          <c:extLst>
            <c:ext xmlns:c16="http://schemas.microsoft.com/office/drawing/2014/chart" uri="{C3380CC4-5D6E-409C-BE32-E72D297353CC}">
              <c16:uniqueId val="{00000000-14F4-40AB-8B2F-07D1C913BBC9}"/>
            </c:ext>
          </c:extLst>
        </c:ser>
        <c:dLbls>
          <c:showLegendKey val="0"/>
          <c:showVal val="0"/>
          <c:showCatName val="0"/>
          <c:showSerName val="0"/>
          <c:showPercent val="0"/>
          <c:showBubbleSize val="0"/>
        </c:dLbls>
        <c:gapWidth val="219"/>
        <c:axId val="88938912"/>
        <c:axId val="1602311695"/>
      </c:barChart>
      <c:catAx>
        <c:axId val="88938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602311695"/>
        <c:crosses val="autoZero"/>
        <c:auto val="1"/>
        <c:lblAlgn val="ctr"/>
        <c:lblOffset val="100"/>
        <c:noMultiLvlLbl val="0"/>
      </c:catAx>
      <c:valAx>
        <c:axId val="16023116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[CricketWC_2023 Project.xlsx]Pivot Table!PivotTable8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5">
                  <a:lumMod val="60000"/>
                  <a:lumOff val="40000"/>
                </a:schemeClr>
              </a:gs>
              <a:gs pos="0">
                <a:schemeClr val="accent5"/>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a:gsLst>
              <a:gs pos="100000">
                <a:schemeClr val="accent5">
                  <a:tint val="65000"/>
                  <a:lumMod val="60000"/>
                  <a:lumOff val="40000"/>
                </a:schemeClr>
              </a:gs>
              <a:gs pos="0">
                <a:schemeClr val="accent5">
                  <a:tint val="65000"/>
                </a:schemeClr>
              </a:gs>
            </a:gsLst>
            <a:lin ang="5400000" scaled="0"/>
          </a:gradFill>
          <a:ln w="19050">
            <a:solidFill>
              <a:schemeClr val="lt1"/>
            </a:solidFill>
          </a:ln>
          <a:effectLst/>
        </c:spPr>
        <c:dLbl>
          <c:idx val="0"/>
          <c:layout>
            <c:manualLayout>
              <c:x val="-0.19790266841644794"/>
              <c:y val="4.3424744320753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a:gsLst>
              <a:gs pos="100000">
                <a:schemeClr val="accent5">
                  <a:lumMod val="60000"/>
                  <a:lumOff val="40000"/>
                </a:schemeClr>
              </a:gs>
              <a:gs pos="0">
                <a:schemeClr val="accent5"/>
              </a:gs>
            </a:gsLst>
            <a:lin ang="5400000" scaled="0"/>
          </a:gradFill>
          <a:ln w="19050">
            <a:solidFill>
              <a:schemeClr val="lt1"/>
            </a:solidFill>
          </a:ln>
          <a:effectLst/>
        </c:spPr>
        <c:dLbl>
          <c:idx val="0"/>
          <c:layout>
            <c:manualLayout>
              <c:x val="0.20906649168853894"/>
              <c:y val="-8.4970585573355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5">
                  <a:shade val="65000"/>
                  <a:lumMod val="60000"/>
                  <a:lumOff val="40000"/>
                </a:schemeClr>
              </a:gs>
              <a:gs pos="0">
                <a:schemeClr val="accent5">
                  <a:shade val="65000"/>
                </a:schemeClr>
              </a:gs>
            </a:gsLst>
            <a:lin ang="5400000" scaled="0"/>
          </a:gradFill>
          <a:ln w="19050">
            <a:solidFill>
              <a:schemeClr val="lt1"/>
            </a:solidFill>
          </a:ln>
          <a:effectLst/>
        </c:spPr>
      </c:pivotFmt>
    </c:pivotFmts>
    <c:plotArea>
      <c:layout/>
      <c:pieChart>
        <c:varyColors val="1"/>
        <c:ser>
          <c:idx val="0"/>
          <c:order val="0"/>
          <c:tx>
            <c:strRef>
              <c:f>'Pivot Table'!$E$18</c:f>
              <c:strCache>
                <c:ptCount val="1"/>
                <c:pt idx="0">
                  <c:v>Total</c:v>
                </c:pt>
              </c:strCache>
            </c:strRef>
          </c:tx>
          <c:dPt>
            <c:idx val="0"/>
            <c:bubble3D val="0"/>
            <c:spPr>
              <a:gradFill>
                <a:gsLst>
                  <a:gs pos="100000">
                    <a:schemeClr val="accent5">
                      <a:tint val="65000"/>
                      <a:lumMod val="60000"/>
                      <a:lumOff val="40000"/>
                    </a:schemeClr>
                  </a:gs>
                  <a:gs pos="0">
                    <a:schemeClr val="accent5">
                      <a:tint val="65000"/>
                    </a:schemeClr>
                  </a:gs>
                </a:gsLst>
                <a:lin ang="5400000" scaled="0"/>
              </a:gradFill>
              <a:ln w="19050">
                <a:solidFill>
                  <a:schemeClr val="lt1"/>
                </a:solidFill>
              </a:ln>
              <a:effectLst/>
            </c:spPr>
            <c:extLst>
              <c:ext xmlns:c16="http://schemas.microsoft.com/office/drawing/2014/chart" uri="{C3380CC4-5D6E-409C-BE32-E72D297353CC}">
                <c16:uniqueId val="{00000001-FF02-4600-BB06-4EDD4EB7FAB0}"/>
              </c:ext>
            </c:extLst>
          </c:dPt>
          <c:dPt>
            <c:idx val="1"/>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3-FF02-4600-BB06-4EDD4EB7FAB0}"/>
              </c:ext>
            </c:extLst>
          </c:dPt>
          <c:dPt>
            <c:idx val="2"/>
            <c:bubble3D val="0"/>
            <c:spPr>
              <a:gradFill>
                <a:gsLst>
                  <a:gs pos="100000">
                    <a:schemeClr val="accent5">
                      <a:shade val="65000"/>
                      <a:lumMod val="60000"/>
                      <a:lumOff val="40000"/>
                    </a:schemeClr>
                  </a:gs>
                  <a:gs pos="0">
                    <a:schemeClr val="accent5">
                      <a:shade val="65000"/>
                    </a:schemeClr>
                  </a:gs>
                </a:gsLst>
                <a:lin ang="5400000" scaled="0"/>
              </a:gradFill>
              <a:ln w="19050">
                <a:solidFill>
                  <a:schemeClr val="lt1"/>
                </a:solidFill>
              </a:ln>
              <a:effectLst/>
            </c:spPr>
            <c:extLst>
              <c:ext xmlns:c16="http://schemas.microsoft.com/office/drawing/2014/chart" uri="{C3380CC4-5D6E-409C-BE32-E72D297353CC}">
                <c16:uniqueId val="{00000005-FF02-4600-BB06-4EDD4EB7FAB0}"/>
              </c:ext>
            </c:extLst>
          </c:dPt>
          <c:dLbls>
            <c:dLbl>
              <c:idx val="0"/>
              <c:layout>
                <c:manualLayout>
                  <c:x val="-0.19790266841644794"/>
                  <c:y val="4.34247443207530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02-4600-BB06-4EDD4EB7FAB0}"/>
                </c:ext>
              </c:extLst>
            </c:dLbl>
            <c:dLbl>
              <c:idx val="1"/>
              <c:layout>
                <c:manualLayout>
                  <c:x val="0.20906649168853894"/>
                  <c:y val="-8.49705855733550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02-4600-BB06-4EDD4EB7FA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Table'!$D$19:$D$22</c:f>
              <c:strCache>
                <c:ptCount val="3"/>
                <c:pt idx="0">
                  <c:v>Bat</c:v>
                </c:pt>
                <c:pt idx="1">
                  <c:v>Field</c:v>
                </c:pt>
                <c:pt idx="2">
                  <c:v>(blank)</c:v>
                </c:pt>
              </c:strCache>
            </c:strRef>
          </c:cat>
          <c:val>
            <c:numRef>
              <c:f>'Pivot Table'!$E$19:$E$22</c:f>
              <c:numCache>
                <c:formatCode>General</c:formatCode>
                <c:ptCount val="3"/>
                <c:pt idx="0">
                  <c:v>44</c:v>
                </c:pt>
                <c:pt idx="1">
                  <c:v>52</c:v>
                </c:pt>
              </c:numCache>
            </c:numRef>
          </c:val>
          <c:extLst>
            <c:ext xmlns:c16="http://schemas.microsoft.com/office/drawing/2014/chart" uri="{C3380CC4-5D6E-409C-BE32-E72D297353CC}">
              <c16:uniqueId val="{00000006-FF02-4600-BB06-4EDD4EB7FAB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[CricketWC_2023 Project.xlsx]Pivot Table!PivotTable6</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stacked"/>
        <c:varyColors val="0"/>
        <c:ser>
          <c:idx val="0"/>
          <c:order val="0"/>
          <c:tx>
            <c:strRef>
              <c:f>'Pivot Table'!$H$3:$H$4</c:f>
              <c:strCache>
                <c:ptCount val="1"/>
                <c:pt idx="0">
                  <c:v>Loss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Table'!$G$5:$G$16</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Table'!$H$5:$H$16</c:f>
              <c:numCache>
                <c:formatCode>General</c:formatCode>
                <c:ptCount val="11"/>
                <c:pt idx="0">
                  <c:v>5</c:v>
                </c:pt>
                <c:pt idx="1">
                  <c:v>2</c:v>
                </c:pt>
                <c:pt idx="2">
                  <c:v>7</c:v>
                </c:pt>
                <c:pt idx="3">
                  <c:v>6</c:v>
                </c:pt>
                <c:pt idx="4">
                  <c:v>1</c:v>
                </c:pt>
                <c:pt idx="5">
                  <c:v>7</c:v>
                </c:pt>
                <c:pt idx="6">
                  <c:v>5</c:v>
                </c:pt>
                <c:pt idx="7">
                  <c:v>5</c:v>
                </c:pt>
                <c:pt idx="8">
                  <c:v>3</c:v>
                </c:pt>
                <c:pt idx="9">
                  <c:v>7</c:v>
                </c:pt>
              </c:numCache>
            </c:numRef>
          </c:val>
          <c:extLst>
            <c:ext xmlns:c16="http://schemas.microsoft.com/office/drawing/2014/chart" uri="{C3380CC4-5D6E-409C-BE32-E72D297353CC}">
              <c16:uniqueId val="{00000000-9233-4959-B88D-8D1C4150AF2F}"/>
            </c:ext>
          </c:extLst>
        </c:ser>
        <c:ser>
          <c:idx val="1"/>
          <c:order val="1"/>
          <c:tx>
            <c:strRef>
              <c:f>'Pivot Table'!$I$3:$I$4</c:f>
              <c:strCache>
                <c:ptCount val="1"/>
                <c:pt idx="0">
                  <c:v>Win</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Table'!$G$5:$G$16</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Table'!$I$5:$I$16</c:f>
              <c:numCache>
                <c:formatCode>General</c:formatCode>
                <c:ptCount val="11"/>
                <c:pt idx="0">
                  <c:v>4</c:v>
                </c:pt>
                <c:pt idx="1">
                  <c:v>9</c:v>
                </c:pt>
                <c:pt idx="2">
                  <c:v>2</c:v>
                </c:pt>
                <c:pt idx="3">
                  <c:v>3</c:v>
                </c:pt>
                <c:pt idx="4">
                  <c:v>10</c:v>
                </c:pt>
                <c:pt idx="5">
                  <c:v>2</c:v>
                </c:pt>
                <c:pt idx="6">
                  <c:v>5</c:v>
                </c:pt>
                <c:pt idx="7">
                  <c:v>4</c:v>
                </c:pt>
                <c:pt idx="8">
                  <c:v>7</c:v>
                </c:pt>
                <c:pt idx="9">
                  <c:v>2</c:v>
                </c:pt>
              </c:numCache>
            </c:numRef>
          </c:val>
          <c:extLst>
            <c:ext xmlns:c16="http://schemas.microsoft.com/office/drawing/2014/chart" uri="{C3380CC4-5D6E-409C-BE32-E72D297353CC}">
              <c16:uniqueId val="{00000002-95CD-46D6-8CAD-1FE172FE3B18}"/>
            </c:ext>
          </c:extLst>
        </c:ser>
        <c:ser>
          <c:idx val="2"/>
          <c:order val="2"/>
          <c:tx>
            <c:strRef>
              <c:f>'Pivot Table'!$J$3:$J$4</c:f>
              <c:strCache>
                <c:ptCount val="1"/>
                <c:pt idx="0">
                  <c:v>(blank)</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Table'!$G$5:$G$16</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Table'!$J$5:$J$16</c:f>
              <c:numCache>
                <c:formatCode>General</c:formatCode>
                <c:ptCount val="11"/>
              </c:numCache>
            </c:numRef>
          </c:val>
          <c:extLst>
            <c:ext xmlns:c16="http://schemas.microsoft.com/office/drawing/2014/chart" uri="{C3380CC4-5D6E-409C-BE32-E72D297353CC}">
              <c16:uniqueId val="{00000003-95CD-46D6-8CAD-1FE172FE3B18}"/>
            </c:ext>
          </c:extLst>
        </c:ser>
        <c:dLbls>
          <c:dLblPos val="ctr"/>
          <c:showLegendKey val="0"/>
          <c:showVal val="1"/>
          <c:showCatName val="0"/>
          <c:showSerName val="0"/>
          <c:showPercent val="0"/>
          <c:showBubbleSize val="0"/>
        </c:dLbls>
        <c:gapWidth val="150"/>
        <c:overlap val="100"/>
        <c:axId val="207269632"/>
        <c:axId val="170782000"/>
      </c:barChart>
      <c:catAx>
        <c:axId val="2072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70782000"/>
        <c:crosses val="autoZero"/>
        <c:auto val="1"/>
        <c:lblAlgn val="ctr"/>
        <c:lblOffset val="100"/>
        <c:noMultiLvlLbl val="0"/>
      </c:catAx>
      <c:valAx>
        <c:axId val="170782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726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[CricketWC_2023 Project.xlsx]Pivot Table!PivotTable2</c:name>
    <c:fmtId val="12"/>
  </c:pivotSource>
  <c:chart>
    <c:autoTitleDeleted val="1"/>
    <c:pivotFmts>
      <c:pivotFmt>
        <c:idx val="0"/>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hade val="41000"/>
            </a:schemeClr>
          </a:solidFill>
          <a:ln w="19050">
            <a:solidFill>
              <a:schemeClr val="lt1"/>
            </a:solidFill>
          </a:ln>
          <a:effectLst/>
        </c:spPr>
      </c:pivotFmt>
      <c:pivotFmt>
        <c:idx val="27"/>
        <c:spPr>
          <a:solidFill>
            <a:schemeClr val="accent5">
              <a:shade val="53000"/>
            </a:schemeClr>
          </a:solidFill>
          <a:ln w="19050">
            <a:solidFill>
              <a:schemeClr val="lt1"/>
            </a:solidFill>
          </a:ln>
          <a:effectLst/>
        </c:spPr>
      </c:pivotFmt>
      <c:pivotFmt>
        <c:idx val="28"/>
        <c:spPr>
          <a:solidFill>
            <a:schemeClr val="accent5">
              <a:shade val="65000"/>
            </a:schemeClr>
          </a:solidFill>
          <a:ln w="19050">
            <a:solidFill>
              <a:schemeClr val="lt1"/>
            </a:solidFill>
          </a:ln>
          <a:effectLst/>
        </c:spPr>
      </c:pivotFmt>
      <c:pivotFmt>
        <c:idx val="29"/>
        <c:spPr>
          <a:solidFill>
            <a:schemeClr val="accent5">
              <a:shade val="76000"/>
            </a:schemeClr>
          </a:solidFill>
          <a:ln w="19050">
            <a:solidFill>
              <a:schemeClr val="lt1"/>
            </a:solidFill>
          </a:ln>
          <a:effectLst/>
        </c:spPr>
      </c:pivotFmt>
      <c:pivotFmt>
        <c:idx val="30"/>
        <c:spPr>
          <a:solidFill>
            <a:schemeClr val="accent5">
              <a:shade val="88000"/>
            </a:schemeClr>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tint val="89000"/>
            </a:schemeClr>
          </a:solidFill>
          <a:ln w="19050">
            <a:solidFill>
              <a:schemeClr val="lt1"/>
            </a:solidFill>
          </a:ln>
          <a:effectLst/>
        </c:spPr>
      </c:pivotFmt>
      <c:pivotFmt>
        <c:idx val="33"/>
        <c:spPr>
          <a:solidFill>
            <a:schemeClr val="accent5">
              <a:tint val="77000"/>
            </a:schemeClr>
          </a:solidFill>
          <a:ln w="19050">
            <a:solidFill>
              <a:schemeClr val="lt1"/>
            </a:solidFill>
          </a:ln>
          <a:effectLst/>
        </c:spPr>
      </c:pivotFmt>
      <c:pivotFmt>
        <c:idx val="34"/>
        <c:spPr>
          <a:solidFill>
            <a:schemeClr val="accent5">
              <a:tint val="65000"/>
            </a:schemeClr>
          </a:solidFill>
          <a:ln w="19050">
            <a:solidFill>
              <a:schemeClr val="lt1"/>
            </a:solidFill>
          </a:ln>
          <a:effectLst/>
        </c:spPr>
      </c:pivotFmt>
      <c:pivotFmt>
        <c:idx val="35"/>
        <c:spPr>
          <a:solidFill>
            <a:schemeClr val="accent5">
              <a:tint val="54000"/>
            </a:schemeClr>
          </a:solidFill>
          <a:ln w="19050">
            <a:solidFill>
              <a:schemeClr val="lt1"/>
            </a:solidFill>
          </a:ln>
          <a:effectLst/>
        </c:spPr>
      </c:pivotFmt>
      <c:pivotFmt>
        <c:idx val="36"/>
        <c:spPr>
          <a:solidFill>
            <a:schemeClr val="accent5">
              <a:tint val="42000"/>
            </a:schemeClr>
          </a:solidFill>
          <a:ln w="19050">
            <a:solidFill>
              <a:schemeClr val="lt1"/>
            </a:solidFill>
          </a:ln>
          <a:effectLst/>
        </c:spPr>
      </c:pivotFmt>
      <c:pivotFmt>
        <c:idx val="3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shade val="41000"/>
            </a:schemeClr>
          </a:solidFill>
          <a:ln w="19050">
            <a:solidFill>
              <a:schemeClr val="lt1"/>
            </a:solidFill>
          </a:ln>
          <a:effectLst/>
        </c:spPr>
      </c:pivotFmt>
      <c:pivotFmt>
        <c:idx val="39"/>
        <c:spPr>
          <a:solidFill>
            <a:schemeClr val="accent5">
              <a:shade val="53000"/>
            </a:schemeClr>
          </a:solidFill>
          <a:ln w="19050">
            <a:solidFill>
              <a:schemeClr val="lt1"/>
            </a:solidFill>
          </a:ln>
          <a:effectLst/>
        </c:spPr>
      </c:pivotFmt>
      <c:pivotFmt>
        <c:idx val="40"/>
        <c:spPr>
          <a:solidFill>
            <a:schemeClr val="accent5">
              <a:shade val="65000"/>
            </a:schemeClr>
          </a:solidFill>
          <a:ln w="19050">
            <a:solidFill>
              <a:schemeClr val="lt1"/>
            </a:solidFill>
          </a:ln>
          <a:effectLst/>
        </c:spPr>
      </c:pivotFmt>
      <c:pivotFmt>
        <c:idx val="41"/>
        <c:spPr>
          <a:solidFill>
            <a:schemeClr val="accent5">
              <a:shade val="76000"/>
            </a:schemeClr>
          </a:solidFill>
          <a:ln w="19050">
            <a:solidFill>
              <a:schemeClr val="lt1"/>
            </a:solidFill>
          </a:ln>
          <a:effectLst/>
        </c:spPr>
      </c:pivotFmt>
      <c:pivotFmt>
        <c:idx val="42"/>
        <c:spPr>
          <a:solidFill>
            <a:schemeClr val="accent5">
              <a:shade val="88000"/>
            </a:schemeClr>
          </a:solidFill>
          <a:ln w="19050">
            <a:solidFill>
              <a:schemeClr val="lt1"/>
            </a:solidFill>
          </a:ln>
          <a:effectLst/>
        </c:spPr>
      </c:pivotFmt>
      <c:pivotFmt>
        <c:idx val="43"/>
        <c:spPr>
          <a:solidFill>
            <a:schemeClr val="accent5"/>
          </a:solidFill>
          <a:ln w="19050">
            <a:solidFill>
              <a:schemeClr val="lt1"/>
            </a:solidFill>
          </a:ln>
          <a:effectLst/>
        </c:spPr>
      </c:pivotFmt>
      <c:pivotFmt>
        <c:idx val="44"/>
        <c:spPr>
          <a:solidFill>
            <a:schemeClr val="accent5">
              <a:tint val="89000"/>
            </a:schemeClr>
          </a:solidFill>
          <a:ln w="19050">
            <a:solidFill>
              <a:schemeClr val="lt1"/>
            </a:solidFill>
          </a:ln>
          <a:effectLst/>
        </c:spPr>
      </c:pivotFmt>
      <c:pivotFmt>
        <c:idx val="45"/>
        <c:spPr>
          <a:solidFill>
            <a:schemeClr val="accent5">
              <a:tint val="77000"/>
            </a:schemeClr>
          </a:solidFill>
          <a:ln w="19050">
            <a:solidFill>
              <a:schemeClr val="lt1"/>
            </a:solidFill>
          </a:ln>
          <a:effectLst/>
        </c:spPr>
      </c:pivotFmt>
      <c:pivotFmt>
        <c:idx val="46"/>
        <c:spPr>
          <a:solidFill>
            <a:schemeClr val="accent5">
              <a:tint val="65000"/>
            </a:schemeClr>
          </a:solidFill>
          <a:ln w="19050">
            <a:solidFill>
              <a:schemeClr val="lt1"/>
            </a:solidFill>
          </a:ln>
          <a:effectLst/>
        </c:spPr>
      </c:pivotFmt>
      <c:pivotFmt>
        <c:idx val="47"/>
        <c:spPr>
          <a:solidFill>
            <a:schemeClr val="accent5">
              <a:tint val="54000"/>
            </a:schemeClr>
          </a:solidFill>
          <a:ln w="19050">
            <a:solidFill>
              <a:schemeClr val="lt1"/>
            </a:solidFill>
          </a:ln>
          <a:effectLst/>
        </c:spPr>
      </c:pivotFmt>
      <c:pivotFmt>
        <c:idx val="48"/>
        <c:spPr>
          <a:solidFill>
            <a:schemeClr val="accent5">
              <a:tint val="42000"/>
            </a:schemeClr>
          </a:solidFill>
          <a:ln w="19050">
            <a:solidFill>
              <a:schemeClr val="lt1"/>
            </a:solidFill>
          </a:ln>
          <a:effectLst/>
        </c:spPr>
      </c:pivotFmt>
      <c:pivotFmt>
        <c:idx val="49"/>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42066599217003"/>
          <c:y val="0.1210905106991991"/>
          <c:w val="0.37539664804469275"/>
          <c:h val="0.76988945351771942"/>
        </c:manualLayout>
      </c:layout>
      <c:doughnutChart>
        <c:varyColors val="1"/>
        <c:ser>
          <c:idx val="1"/>
          <c:order val="0"/>
          <c:tx>
            <c:strRef>
              <c:f>'Pivot Table'!$B$3</c:f>
              <c:strCache>
                <c:ptCount val="1"/>
                <c:pt idx="0">
                  <c:v>Total</c:v>
                </c:pt>
              </c:strCache>
            </c:strRef>
          </c:tx>
          <c:spPr>
            <a:ln>
              <a:solidFill>
                <a:schemeClr val="bg1"/>
              </a:solidFill>
            </a:ln>
          </c:spPr>
          <c:dLbls>
            <c:spPr>
              <a:noFill/>
              <a:ln>
                <a:noFill/>
              </a:ln>
              <a:effectLst/>
            </c:spPr>
            <c:txPr>
              <a:bodyPr wrap="square" lIns="38100" tIns="19050" rIns="38100" bIns="19050" anchor="ctr">
                <a:spAutoFit/>
              </a:bodyPr>
              <a:lstStyle/>
              <a:p>
                <a:pPr>
                  <a:defRPr sz="1100" b="1">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Table'!$A$4:$A$15</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Table'!$B$4:$B$15</c:f>
              <c:numCache>
                <c:formatCode>General</c:formatCode>
                <c:ptCount val="11"/>
                <c:pt idx="0">
                  <c:v>2093</c:v>
                </c:pt>
                <c:pt idx="1">
                  <c:v>3086</c:v>
                </c:pt>
                <c:pt idx="2">
                  <c:v>2142</c:v>
                </c:pt>
                <c:pt idx="3">
                  <c:v>1992</c:v>
                </c:pt>
                <c:pt idx="4">
                  <c:v>3160</c:v>
                </c:pt>
                <c:pt idx="5">
                  <c:v>1937</c:v>
                </c:pt>
                <c:pt idx="6">
                  <c:v>2863</c:v>
                </c:pt>
                <c:pt idx="7">
                  <c:v>2420</c:v>
                </c:pt>
                <c:pt idx="8">
                  <c:v>2897</c:v>
                </c:pt>
                <c:pt idx="9">
                  <c:v>2049</c:v>
                </c:pt>
              </c:numCache>
            </c:numRef>
          </c:val>
          <c:extLst>
            <c:ext xmlns:c16="http://schemas.microsoft.com/office/drawing/2014/chart" uri="{C3380CC4-5D6E-409C-BE32-E72D297353CC}">
              <c16:uniqueId val="{00000030-0468-41B6-B3E5-3C2998E3EB01}"/>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79962750099485291"/>
          <c:y val="7.7821423859901984E-2"/>
          <c:w val="0.15894747829263678"/>
          <c:h val="0.8743642603564276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forceAA="0"/>
            <a:lstStyle/>
            <a:p>
              <a:pPr>
                <a:defRPr lang="zh-CN" sz="700" b="1"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7EABDA"/>
          </a:solidFill>
          <a:ln>
            <a:solidFill>
              <a:schemeClr val="bg1"/>
            </a:solidFill>
          </a:ln>
          <a:effectLst/>
        </c:spPr>
        <c:dLbl>
          <c:idx val="0"/>
          <c:layout>
            <c:manualLayout>
              <c:x val="1.7008180124726699E-2"/>
              <c:y val="2.71788367457873E-3"/>
            </c:manualLayout>
          </c:layout>
          <c:spPr>
            <a:noFill/>
            <a:ln>
              <a:noFill/>
            </a:ln>
            <a:effectLst/>
          </c:spPr>
          <c:txPr>
            <a:bodyPr rot="0" spcFirstLastPara="0" vertOverflow="ellipsis" vert="horz" wrap="square" lIns="38100" tIns="19050" rIns="38100" bIns="19050" anchor="ctr" anchorCtr="1" forceAA="0"/>
            <a:lstStyle/>
            <a:p>
              <a:pPr>
                <a:defRPr lang="zh-CN" sz="700" b="1"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rgbClr val="3B6790">
              <a:alpha val="80000"/>
            </a:srgbClr>
          </a:solidFill>
          <a:ln>
            <a:solidFill>
              <a:schemeClr val="bg1"/>
            </a:solidFill>
          </a:ln>
          <a:effectLst/>
        </c:spPr>
      </c:pivotFmt>
      <c:pivotFmt>
        <c:idx val="3"/>
        <c:spPr>
          <a:solidFill>
            <a:srgbClr val="BFD2EA"/>
          </a:solidFill>
          <a:ln>
            <a:solidFill>
              <a:schemeClr val="bg1"/>
            </a:solidFill>
          </a:ln>
          <a:effectLst/>
        </c:spPr>
      </c:pivotFmt>
      <c:pivotFmt>
        <c:idx val="4"/>
        <c:spPr>
          <a:solidFill>
            <a:srgbClr val="98B9E0"/>
          </a:solidFill>
          <a:ln>
            <a:solidFill>
              <a:schemeClr val="bg1"/>
            </a:solidFill>
          </a:ln>
          <a:effectLst/>
        </c:spPr>
      </c:pivotFmt>
      <c:pivotFmt>
        <c:idx val="5"/>
        <c:spPr>
          <a:solidFill>
            <a:srgbClr val="3B6790"/>
          </a:solidFill>
          <a:ln>
            <a:solidFill>
              <a:schemeClr val="bg1"/>
            </a:solidFill>
          </a:ln>
          <a:effectLst/>
        </c:spPr>
        <c:dLbl>
          <c:idx val="0"/>
          <c:layout>
            <c:manualLayout>
              <c:x val="5.70988904187252E-2"/>
              <c:y val="-2.3750879662209699E-2"/>
            </c:manualLayout>
          </c:layout>
          <c:spPr>
            <a:noFill/>
            <a:ln>
              <a:noFill/>
            </a:ln>
            <a:effectLst/>
          </c:spPr>
          <c:txPr>
            <a:bodyPr rot="0" spcFirstLastPara="0" vertOverflow="ellipsis" vert="horz" wrap="square" lIns="38100" tIns="19050" rIns="38100" bIns="19050" anchor="ctr" anchorCtr="1" forceAA="0"/>
            <a:lstStyle/>
            <a:p>
              <a:pPr>
                <a:defRPr lang="zh-CN" sz="700" b="1"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BFD2EA"/>
          </a:solidFill>
          <a:ln>
            <a:solidFill>
              <a:schemeClr val="bg1"/>
            </a:solidFill>
          </a:ln>
          <a:effectLst/>
        </c:spPr>
        <c:dLbl>
          <c:idx val="0"/>
          <c:layout>
            <c:manualLayout>
              <c:x val="7.28922005345428E-3"/>
              <c:y val="4.7338227266590098E-4"/>
            </c:manualLayout>
          </c:layout>
          <c:spPr>
            <a:noFill/>
            <a:ln>
              <a:noFill/>
            </a:ln>
            <a:effectLst/>
          </c:spPr>
          <c:txPr>
            <a:bodyPr rot="0" spcFirstLastPara="0" vertOverflow="ellipsis" vert="horz" wrap="square" lIns="38100" tIns="19050" rIns="38100" bIns="19050" anchor="ctr" anchorCtr="1" forceAA="0"/>
            <a:lstStyle/>
            <a:p>
              <a:pPr>
                <a:defRPr lang="zh-CN" sz="700" b="1"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tint val="80909"/>
            </a:schemeClr>
          </a:solidFill>
          <a:ln>
            <a:solidFill>
              <a:schemeClr val="bg1"/>
            </a:solidFill>
          </a:ln>
          <a:effectLst/>
        </c:spPr>
      </c:pivotFmt>
      <c:pivotFmt>
        <c:idx val="8"/>
        <c:spPr>
          <a:solidFill>
            <a:schemeClr val="accent1">
              <a:tint val="68182"/>
            </a:schemeClr>
          </a:solidFill>
          <a:ln>
            <a:solidFill>
              <a:schemeClr val="bg1"/>
            </a:solidFill>
          </a:ln>
          <a:effectLst/>
        </c:spPr>
      </c:pivotFmt>
      <c:pivotFmt>
        <c:idx val="9"/>
        <c:spPr>
          <a:solidFill>
            <a:srgbClr val="4A7FB0"/>
          </a:solidFill>
          <a:ln>
            <a:solidFill>
              <a:schemeClr val="bg1"/>
            </a:solidFill>
          </a:ln>
          <a:effectLst/>
        </c:spPr>
        <c:dLbl>
          <c:idx val="0"/>
          <c:layout>
            <c:manualLayout>
              <c:x val="1.21487000890905E-3"/>
              <c:y val="2.4460953071208599E-2"/>
            </c:manualLayout>
          </c:layout>
          <c:spPr>
            <a:noFill/>
            <a:ln>
              <a:noFill/>
            </a:ln>
            <a:effectLst/>
          </c:spPr>
          <c:txPr>
            <a:bodyPr rot="0" spcFirstLastPara="0" vertOverflow="ellipsis" vert="horz" wrap="square" lIns="38100" tIns="19050" rIns="38100" bIns="19050" anchor="ctr" anchorCtr="1" forceAA="0"/>
            <a:lstStyle/>
            <a:p>
              <a:pPr>
                <a:defRPr lang="zh-CN" sz="700" b="1"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tint val="42727"/>
            </a:schemeClr>
          </a:solidFill>
          <a:ln>
            <a:solidFill>
              <a:schemeClr val="bg1"/>
            </a:solidFill>
          </a:ln>
          <a:effectLst/>
        </c:spPr>
        <c:dLbl>
          <c:idx val="0"/>
          <c:layout>
            <c:manualLayout>
              <c:x val="-6.0168471720818302E-3"/>
              <c:y val="-7.8897045444310194E-5"/>
            </c:manualLayout>
          </c:layout>
          <c:spPr>
            <a:noFill/>
            <a:ln>
              <a:noFill/>
            </a:ln>
            <a:effectLst/>
          </c:spPr>
          <c:txPr>
            <a:bodyPr rot="0" spcFirstLastPara="0" vertOverflow="ellipsis" vert="horz" wrap="square" lIns="38100" tIns="19050" rIns="38100" bIns="19050" anchor="ctr" anchorCtr="1" forceAA="0"/>
            <a:lstStyle/>
            <a:p>
              <a:pPr>
                <a:defRPr lang="zh-CN" sz="700" b="1"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v>Total</c:v>
          </c:tx>
          <c:dPt>
            <c:idx val="0"/>
            <c:bubble3D val="0"/>
            <c:spPr>
              <a:solidFill>
                <a:srgbClr val="7EABDA"/>
              </a:solidFill>
              <a:ln>
                <a:solidFill>
                  <a:schemeClr val="bg1"/>
                </a:solidFill>
              </a:ln>
              <a:effectLst/>
            </c:spPr>
            <c:extLst>
              <c:ext xmlns:c16="http://schemas.microsoft.com/office/drawing/2014/chart" uri="{C3380CC4-5D6E-409C-BE32-E72D297353CC}">
                <c16:uniqueId val="{00000001-0DB7-4116-AF02-6D9E3595AA0B}"/>
              </c:ext>
            </c:extLst>
          </c:dPt>
          <c:dPt>
            <c:idx val="1"/>
            <c:bubble3D val="0"/>
            <c:spPr>
              <a:solidFill>
                <a:srgbClr val="3B6790">
                  <a:alpha val="80000"/>
                </a:srgbClr>
              </a:solidFill>
              <a:ln>
                <a:solidFill>
                  <a:schemeClr val="bg1"/>
                </a:solidFill>
              </a:ln>
              <a:effectLst/>
            </c:spPr>
            <c:extLst>
              <c:ext xmlns:c16="http://schemas.microsoft.com/office/drawing/2014/chart" uri="{C3380CC4-5D6E-409C-BE32-E72D297353CC}">
                <c16:uniqueId val="{00000003-0DB7-4116-AF02-6D9E3595AA0B}"/>
              </c:ext>
            </c:extLst>
          </c:dPt>
          <c:dPt>
            <c:idx val="2"/>
            <c:bubble3D val="0"/>
            <c:spPr>
              <a:solidFill>
                <a:srgbClr val="BFD2EA"/>
              </a:solidFill>
              <a:ln>
                <a:solidFill>
                  <a:schemeClr val="bg1"/>
                </a:solidFill>
              </a:ln>
              <a:effectLst/>
            </c:spPr>
            <c:extLst>
              <c:ext xmlns:c16="http://schemas.microsoft.com/office/drawing/2014/chart" uri="{C3380CC4-5D6E-409C-BE32-E72D297353CC}">
                <c16:uniqueId val="{00000005-0DB7-4116-AF02-6D9E3595AA0B}"/>
              </c:ext>
            </c:extLst>
          </c:dPt>
          <c:dPt>
            <c:idx val="3"/>
            <c:bubble3D val="0"/>
            <c:spPr>
              <a:solidFill>
                <a:srgbClr val="98B9E0"/>
              </a:solidFill>
              <a:ln>
                <a:solidFill>
                  <a:schemeClr val="bg1"/>
                </a:solidFill>
              </a:ln>
              <a:effectLst/>
            </c:spPr>
            <c:extLst>
              <c:ext xmlns:c16="http://schemas.microsoft.com/office/drawing/2014/chart" uri="{C3380CC4-5D6E-409C-BE32-E72D297353CC}">
                <c16:uniqueId val="{00000007-0DB7-4116-AF02-6D9E3595AA0B}"/>
              </c:ext>
            </c:extLst>
          </c:dPt>
          <c:dPt>
            <c:idx val="4"/>
            <c:bubble3D val="0"/>
            <c:spPr>
              <a:solidFill>
                <a:srgbClr val="3B6790"/>
              </a:solidFill>
              <a:ln>
                <a:solidFill>
                  <a:schemeClr val="bg1"/>
                </a:solidFill>
              </a:ln>
              <a:effectLst/>
            </c:spPr>
            <c:extLst>
              <c:ext xmlns:c16="http://schemas.microsoft.com/office/drawing/2014/chart" uri="{C3380CC4-5D6E-409C-BE32-E72D297353CC}">
                <c16:uniqueId val="{00000009-0DB7-4116-AF02-6D9E3595AA0B}"/>
              </c:ext>
            </c:extLst>
          </c:dPt>
          <c:dPt>
            <c:idx val="5"/>
            <c:bubble3D val="0"/>
            <c:spPr>
              <a:solidFill>
                <a:srgbClr val="BFD2EA"/>
              </a:solidFill>
              <a:ln>
                <a:solidFill>
                  <a:schemeClr val="bg1"/>
                </a:solidFill>
              </a:ln>
              <a:effectLst/>
            </c:spPr>
            <c:extLst>
              <c:ext xmlns:c16="http://schemas.microsoft.com/office/drawing/2014/chart" uri="{C3380CC4-5D6E-409C-BE32-E72D297353CC}">
                <c16:uniqueId val="{0000000B-0DB7-4116-AF02-6D9E3595AA0B}"/>
              </c:ext>
            </c:extLst>
          </c:dPt>
          <c:dPt>
            <c:idx val="6"/>
            <c:bubble3D val="0"/>
            <c:spPr>
              <a:solidFill>
                <a:schemeClr val="accent1">
                  <a:tint val="80909"/>
                </a:schemeClr>
              </a:solidFill>
              <a:ln>
                <a:solidFill>
                  <a:schemeClr val="bg1"/>
                </a:solidFill>
              </a:ln>
              <a:effectLst/>
            </c:spPr>
            <c:extLst>
              <c:ext xmlns:c16="http://schemas.microsoft.com/office/drawing/2014/chart" uri="{C3380CC4-5D6E-409C-BE32-E72D297353CC}">
                <c16:uniqueId val="{0000000D-0DB7-4116-AF02-6D9E3595AA0B}"/>
              </c:ext>
            </c:extLst>
          </c:dPt>
          <c:dPt>
            <c:idx val="7"/>
            <c:bubble3D val="0"/>
            <c:spPr>
              <a:solidFill>
                <a:schemeClr val="accent1">
                  <a:tint val="68182"/>
                </a:schemeClr>
              </a:solidFill>
              <a:ln>
                <a:solidFill>
                  <a:schemeClr val="bg1"/>
                </a:solidFill>
              </a:ln>
              <a:effectLst/>
            </c:spPr>
            <c:extLst>
              <c:ext xmlns:c16="http://schemas.microsoft.com/office/drawing/2014/chart" uri="{C3380CC4-5D6E-409C-BE32-E72D297353CC}">
                <c16:uniqueId val="{0000000F-0DB7-4116-AF02-6D9E3595AA0B}"/>
              </c:ext>
            </c:extLst>
          </c:dPt>
          <c:dPt>
            <c:idx val="8"/>
            <c:bubble3D val="0"/>
            <c:spPr>
              <a:solidFill>
                <a:srgbClr val="4A7FB0"/>
              </a:solidFill>
              <a:ln>
                <a:solidFill>
                  <a:schemeClr val="bg1"/>
                </a:solidFill>
              </a:ln>
              <a:effectLst/>
            </c:spPr>
            <c:extLst>
              <c:ext xmlns:c16="http://schemas.microsoft.com/office/drawing/2014/chart" uri="{C3380CC4-5D6E-409C-BE32-E72D297353CC}">
                <c16:uniqueId val="{00000011-0DB7-4116-AF02-6D9E3595AA0B}"/>
              </c:ext>
            </c:extLst>
          </c:dPt>
          <c:dPt>
            <c:idx val="9"/>
            <c:bubble3D val="0"/>
            <c:spPr>
              <a:solidFill>
                <a:schemeClr val="accent1">
                  <a:tint val="42727"/>
                </a:schemeClr>
              </a:solidFill>
              <a:ln>
                <a:solidFill>
                  <a:schemeClr val="bg1"/>
                </a:solidFill>
              </a:ln>
              <a:effectLst/>
            </c:spPr>
            <c:extLst>
              <c:ext xmlns:c16="http://schemas.microsoft.com/office/drawing/2014/chart" uri="{C3380CC4-5D6E-409C-BE32-E72D297353CC}">
                <c16:uniqueId val="{00000013-0DB7-4116-AF02-6D9E3595AA0B}"/>
              </c:ext>
            </c:extLst>
          </c:dPt>
          <c:dLbls>
            <c:dLbl>
              <c:idx val="0"/>
              <c:layout>
                <c:manualLayout>
                  <c:x val="1.7008180124726699E-2"/>
                  <c:y val="2.71788367457873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DB7-4116-AF02-6D9E3595AA0B}"/>
                </c:ext>
              </c:extLst>
            </c:dLbl>
            <c:dLbl>
              <c:idx val="4"/>
              <c:layout>
                <c:manualLayout>
                  <c:x val="5.70988904187252E-2"/>
                  <c:y val="-2.375087966220969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0DB7-4116-AF02-6D9E3595AA0B}"/>
                </c:ext>
              </c:extLst>
            </c:dLbl>
            <c:dLbl>
              <c:idx val="5"/>
              <c:layout>
                <c:manualLayout>
                  <c:x val="7.28922005345428E-3"/>
                  <c:y val="4.7338227266590098E-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0DB7-4116-AF02-6D9E3595AA0B}"/>
                </c:ext>
              </c:extLst>
            </c:dLbl>
            <c:dLbl>
              <c:idx val="8"/>
              <c:layout>
                <c:manualLayout>
                  <c:x val="1.21487000890905E-3"/>
                  <c:y val="2.446095307120859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0DB7-4116-AF02-6D9E3595AA0B}"/>
                </c:ext>
              </c:extLst>
            </c:dLbl>
            <c:dLbl>
              <c:idx val="9"/>
              <c:layout>
                <c:manualLayout>
                  <c:x val="-6.0168471720818302E-3"/>
                  <c:y val="-7.8897045444310194E-5"/>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0DB7-4116-AF02-6D9E3595AA0B}"/>
                </c:ext>
              </c:extLst>
            </c:dLbl>
            <c:spPr>
              <a:noFill/>
              <a:ln>
                <a:noFill/>
              </a:ln>
              <a:effectLst/>
            </c:spPr>
            <c:txPr>
              <a:bodyPr rot="0" spcFirstLastPara="0" vertOverflow="ellipsis" vert="horz" wrap="square" lIns="38100" tIns="19050" rIns="38100" bIns="19050" anchor="ctr" anchorCtr="1" forceAA="0"/>
              <a:lstStyle/>
              <a:p>
                <a:pPr>
                  <a:defRPr lang="zh-CN" sz="1100" b="1"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0"/>
              <c:pt idx="0">
                <c:v>Afghanistan</c:v>
              </c:pt>
              <c:pt idx="1">
                <c:v>Australia</c:v>
              </c:pt>
              <c:pt idx="2">
                <c:v>Bangladesh</c:v>
              </c:pt>
              <c:pt idx="3">
                <c:v>England</c:v>
              </c:pt>
              <c:pt idx="4">
                <c:v>India</c:v>
              </c:pt>
              <c:pt idx="5">
                <c:v>Netherlands</c:v>
              </c:pt>
              <c:pt idx="6">
                <c:v>NewZealand</c:v>
              </c:pt>
              <c:pt idx="7">
                <c:v>Pakistan</c:v>
              </c:pt>
              <c:pt idx="8">
                <c:v>South Africa</c:v>
              </c:pt>
              <c:pt idx="9">
                <c:v>Sri Lanka</c:v>
              </c:pt>
            </c:strLit>
          </c:cat>
          <c:val>
            <c:numLit>
              <c:formatCode>General</c:formatCode>
              <c:ptCount val="10"/>
              <c:pt idx="0">
                <c:v>4</c:v>
              </c:pt>
              <c:pt idx="1">
                <c:v>9</c:v>
              </c:pt>
              <c:pt idx="2">
                <c:v>2</c:v>
              </c:pt>
              <c:pt idx="3">
                <c:v>3</c:v>
              </c:pt>
              <c:pt idx="4">
                <c:v>10</c:v>
              </c:pt>
              <c:pt idx="5">
                <c:v>2</c:v>
              </c:pt>
              <c:pt idx="6">
                <c:v>5</c:v>
              </c:pt>
              <c:pt idx="7">
                <c:v>4</c:v>
              </c:pt>
              <c:pt idx="8">
                <c:v>7</c:v>
              </c:pt>
              <c:pt idx="9">
                <c:v>2</c:v>
              </c:pt>
            </c:numLit>
          </c:val>
          <c:extLst>
            <c:ext xmlns:c16="http://schemas.microsoft.com/office/drawing/2014/chart" uri="{C3380CC4-5D6E-409C-BE32-E72D297353CC}">
              <c16:uniqueId val="{00000014-0DB7-4116-AF02-6D9E3595AA0B}"/>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uri="{0b15fc19-7d7d-44ad-8c2d-2c3a37ce22c3}">
        <chartProps xmlns="https://web.wps.cn/et/2018/main" chartId="{fac5a16b-de37-4027-9e0a-5ab7011f1595}"/>
      </c:ext>
    </c:extLst>
  </c:chart>
  <c:spPr>
    <a:solidFill>
      <a:schemeClr val="accent5">
        <a:lumMod val="20000"/>
        <a:lumOff val="80000"/>
      </a:schemeClr>
    </a:solidFill>
    <a:ln w="6350" cap="flat" cmpd="sng" algn="ctr">
      <a:solidFill>
        <a:schemeClr val="tx1">
          <a:lumMod val="50000"/>
          <a:lumOff val="50000"/>
          <a:alpha val="25000"/>
        </a:schemeClr>
      </a:solidFill>
      <a:round/>
    </a:ln>
    <a:effectLst/>
  </c:spPr>
  <c:txPr>
    <a:bodyPr/>
    <a:lstStyle/>
    <a:p>
      <a:pPr>
        <a:defRPr lang="zh-CN" sz="700">
          <a:latin typeface="Microsoft YaHei" panose="020B0503020204020204" charset="-122"/>
          <a:ea typeface="Microsoft YaHei" panose="020B0503020204020204" charset="-122"/>
          <a:cs typeface="Microsoft YaHei" panose="020B0503020204020204" charset="-122"/>
          <a:sym typeface="Microsoft YaHei" panose="020B0503020204020204" charset="-122"/>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[CricketWC_2023 Project.xlsx]Pivot Table!PivotTable3</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Table'!$D$4:$D$15</c:f>
              <c:strCache>
                <c:ptCount val="11"/>
                <c:pt idx="0">
                  <c:v>Arun Jaitley Stadium</c:v>
                </c:pt>
                <c:pt idx="1">
                  <c:v>BRSABV Ekana Cricket Stadium</c:v>
                </c:pt>
                <c:pt idx="2">
                  <c:v>Eden Gardens</c:v>
                </c:pt>
                <c:pt idx="3">
                  <c:v>HPCA Stadium</c:v>
                </c:pt>
                <c:pt idx="4">
                  <c:v>M. A. Chidambaram Stadium</c:v>
                </c:pt>
                <c:pt idx="5">
                  <c:v>M. Chinnaswamy Stadium</c:v>
                </c:pt>
                <c:pt idx="6">
                  <c:v>Maharashtra Cricket Association Stadium</c:v>
                </c:pt>
                <c:pt idx="7">
                  <c:v>Narendra Modi Stadium</c:v>
                </c:pt>
                <c:pt idx="8">
                  <c:v>Rajiv Gandhi International Stadium</c:v>
                </c:pt>
                <c:pt idx="9">
                  <c:v>Wankhede Stadium</c:v>
                </c:pt>
                <c:pt idx="10">
                  <c:v>(blank)</c:v>
                </c:pt>
              </c:strCache>
            </c:strRef>
          </c:cat>
          <c:val>
            <c:numRef>
              <c:f>'Pivot Table'!$E$4:$E$15</c:f>
              <c:numCache>
                <c:formatCode>General</c:formatCode>
                <c:ptCount val="11"/>
                <c:pt idx="0">
                  <c:v>284.8</c:v>
                </c:pt>
                <c:pt idx="1">
                  <c:v>215.5</c:v>
                </c:pt>
                <c:pt idx="2">
                  <c:v>224</c:v>
                </c:pt>
                <c:pt idx="3">
                  <c:v>267.5</c:v>
                </c:pt>
                <c:pt idx="4">
                  <c:v>242.9</c:v>
                </c:pt>
                <c:pt idx="5">
                  <c:v>259.2</c:v>
                </c:pt>
                <c:pt idx="6">
                  <c:v>265.5</c:v>
                </c:pt>
                <c:pt idx="7">
                  <c:v>245.9</c:v>
                </c:pt>
                <c:pt idx="8">
                  <c:v>308.5</c:v>
                </c:pt>
                <c:pt idx="9">
                  <c:v>290.39999999999998</c:v>
                </c:pt>
              </c:numCache>
            </c:numRef>
          </c:val>
          <c:smooth val="0"/>
          <c:extLst>
            <c:ext xmlns:c16="http://schemas.microsoft.com/office/drawing/2014/chart" uri="{C3380CC4-5D6E-409C-BE32-E72D297353CC}">
              <c16:uniqueId val="{00000000-B9E1-41C3-81F6-5B03A268F65A}"/>
            </c:ext>
          </c:extLst>
        </c:ser>
        <c:dLbls>
          <c:dLblPos val="t"/>
          <c:showLegendKey val="0"/>
          <c:showVal val="1"/>
          <c:showCatName val="0"/>
          <c:showSerName val="0"/>
          <c:showPercent val="0"/>
          <c:showBubbleSize val="0"/>
        </c:dLbls>
        <c:marker val="1"/>
        <c:smooth val="0"/>
        <c:axId val="1168972287"/>
        <c:axId val="2142563119"/>
      </c:lineChart>
      <c:catAx>
        <c:axId val="116897228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42563119"/>
        <c:crosses val="autoZero"/>
        <c:auto val="1"/>
        <c:lblAlgn val="ctr"/>
        <c:lblOffset val="100"/>
        <c:noMultiLvlLbl val="0"/>
      </c:catAx>
      <c:valAx>
        <c:axId val="214256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897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[CricketWC_2023 Project.xlsx]Pivot Table!PivotTable7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58192398099049E-2"/>
          <c:y val="5.7539175201974678E-2"/>
          <c:w val="0.91574180760190094"/>
          <c:h val="0.70642986124620455"/>
        </c:manualLayout>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Table'!$A$18:$A$29</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Table'!$B$18:$B$29</c:f>
              <c:numCache>
                <c:formatCode>General</c:formatCode>
                <c:ptCount val="11"/>
                <c:pt idx="0">
                  <c:v>220</c:v>
                </c:pt>
                <c:pt idx="1">
                  <c:v>384</c:v>
                </c:pt>
                <c:pt idx="2">
                  <c:v>231</c:v>
                </c:pt>
                <c:pt idx="3">
                  <c:v>257</c:v>
                </c:pt>
                <c:pt idx="4">
                  <c:v>369</c:v>
                </c:pt>
                <c:pt idx="5">
                  <c:v>197</c:v>
                </c:pt>
                <c:pt idx="6">
                  <c:v>348</c:v>
                </c:pt>
                <c:pt idx="7">
                  <c:v>290</c:v>
                </c:pt>
                <c:pt idx="8">
                  <c:v>341</c:v>
                </c:pt>
                <c:pt idx="9">
                  <c:v>248</c:v>
                </c:pt>
              </c:numCache>
            </c:numRef>
          </c:val>
          <c:extLst>
            <c:ext xmlns:c16="http://schemas.microsoft.com/office/drawing/2014/chart" uri="{C3380CC4-5D6E-409C-BE32-E72D297353CC}">
              <c16:uniqueId val="{00000000-A41C-45A3-898A-0E5304D4338A}"/>
            </c:ext>
          </c:extLst>
        </c:ser>
        <c:dLbls>
          <c:showLegendKey val="0"/>
          <c:showVal val="0"/>
          <c:showCatName val="0"/>
          <c:showSerName val="0"/>
          <c:showPercent val="0"/>
          <c:showBubbleSize val="0"/>
        </c:dLbls>
        <c:gapWidth val="219"/>
        <c:axId val="88938912"/>
        <c:axId val="1602311695"/>
      </c:barChart>
      <c:catAx>
        <c:axId val="88938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1100" b="1" i="0" u="none" strike="noStrike" kern="1200" baseline="0">
                <a:solidFill>
                  <a:schemeClr val="tx1">
                    <a:lumMod val="65000"/>
                    <a:lumOff val="35000"/>
                  </a:schemeClr>
                </a:solidFill>
                <a:latin typeface="+mn-lt"/>
                <a:ea typeface="+mn-ea"/>
                <a:cs typeface="+mn-cs"/>
              </a:defRPr>
            </a:pPr>
            <a:endParaRPr lang="en-US"/>
          </a:p>
        </c:txPr>
        <c:crossAx val="1602311695"/>
        <c:crosses val="autoZero"/>
        <c:auto val="1"/>
        <c:lblAlgn val="ctr"/>
        <c:lblOffset val="100"/>
        <c:noMultiLvlLbl val="0"/>
      </c:catAx>
      <c:valAx>
        <c:axId val="16023116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8912"/>
        <c:crosses val="autoZero"/>
        <c:crossBetween val="between"/>
        <c:majorUnit val="100"/>
      </c:valAx>
      <c:spPr>
        <a:solidFill>
          <a:schemeClr val="accent5">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[CricketWC_2023 Project.xlsx]Pivot Table!PivotTable8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5">
                  <a:lumMod val="60000"/>
                  <a:lumOff val="40000"/>
                </a:schemeClr>
              </a:gs>
              <a:gs pos="0">
                <a:schemeClr val="accent5"/>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a:gsLst>
              <a:gs pos="100000">
                <a:schemeClr val="accent5">
                  <a:tint val="65000"/>
                  <a:lumMod val="60000"/>
                  <a:lumOff val="40000"/>
                </a:schemeClr>
              </a:gs>
              <a:gs pos="0">
                <a:schemeClr val="accent5">
                  <a:tint val="65000"/>
                </a:schemeClr>
              </a:gs>
            </a:gsLst>
            <a:lin ang="5400000" scaled="0"/>
          </a:gradFill>
          <a:ln w="19050">
            <a:solidFill>
              <a:schemeClr val="lt1"/>
            </a:solidFill>
          </a:ln>
          <a:effectLst/>
        </c:spPr>
        <c:dLbl>
          <c:idx val="0"/>
          <c:layout>
            <c:manualLayout>
              <c:x val="-0.19790266841644794"/>
              <c:y val="4.3424744320753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a:gsLst>
              <a:gs pos="100000">
                <a:schemeClr val="accent5">
                  <a:lumMod val="60000"/>
                  <a:lumOff val="40000"/>
                </a:schemeClr>
              </a:gs>
              <a:gs pos="0">
                <a:schemeClr val="accent5"/>
              </a:gs>
            </a:gsLst>
            <a:lin ang="5400000" scaled="0"/>
          </a:gradFill>
          <a:ln w="19050">
            <a:solidFill>
              <a:schemeClr val="lt1"/>
            </a:solidFill>
          </a:ln>
          <a:effectLst/>
        </c:spPr>
        <c:dLbl>
          <c:idx val="0"/>
          <c:layout>
            <c:manualLayout>
              <c:x val="0.20906649168853894"/>
              <c:y val="-8.4970585573355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5">
                  <a:shade val="65000"/>
                  <a:lumMod val="60000"/>
                  <a:lumOff val="40000"/>
                </a:schemeClr>
              </a:gs>
              <a:gs pos="0">
                <a:schemeClr val="accent5">
                  <a:shade val="65000"/>
                </a:schemeClr>
              </a:gs>
            </a:gsLst>
            <a:lin ang="5400000" scaled="0"/>
          </a:gradFill>
          <a:ln w="19050">
            <a:solidFill>
              <a:schemeClr val="lt1"/>
            </a:solidFill>
          </a:ln>
          <a:effectLst/>
        </c:spPr>
      </c:pivotFmt>
      <c:pivotFmt>
        <c:idx val="9"/>
        <c:spPr>
          <a:gradFill>
            <a:gsLst>
              <a:gs pos="100000">
                <a:schemeClr val="accent5">
                  <a:lumMod val="60000"/>
                  <a:lumOff val="40000"/>
                </a:schemeClr>
              </a:gs>
              <a:gs pos="0">
                <a:schemeClr val="accent5"/>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a:gsLst>
              <a:gs pos="100000">
                <a:schemeClr val="accent5">
                  <a:tint val="65000"/>
                  <a:lumMod val="60000"/>
                  <a:lumOff val="40000"/>
                </a:schemeClr>
              </a:gs>
              <a:gs pos="0">
                <a:schemeClr val="accent5">
                  <a:tint val="65000"/>
                </a:schemeClr>
              </a:gs>
            </a:gsLst>
            <a:lin ang="5400000" scaled="0"/>
          </a:gradFill>
          <a:ln w="19050">
            <a:solidFill>
              <a:schemeClr val="lt1"/>
            </a:solidFill>
          </a:ln>
          <a:effectLst/>
        </c:spPr>
        <c:dLbl>
          <c:idx val="0"/>
          <c:layout>
            <c:manualLayout>
              <c:x val="-0.19790266841644794"/>
              <c:y val="4.3424744320753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a:gsLst>
              <a:gs pos="100000">
                <a:schemeClr val="accent5">
                  <a:lumMod val="60000"/>
                  <a:lumOff val="40000"/>
                </a:schemeClr>
              </a:gs>
              <a:gs pos="0">
                <a:schemeClr val="accent5"/>
              </a:gs>
            </a:gsLst>
            <a:lin ang="5400000" scaled="0"/>
          </a:gradFill>
          <a:ln w="19050">
            <a:solidFill>
              <a:schemeClr val="lt1"/>
            </a:solidFill>
          </a:ln>
          <a:effectLst/>
        </c:spPr>
        <c:dLbl>
          <c:idx val="0"/>
          <c:layout>
            <c:manualLayout>
              <c:x val="0.20906649168853894"/>
              <c:y val="-8.4970585573355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a:gsLst>
              <a:gs pos="100000">
                <a:schemeClr val="accent5">
                  <a:shade val="65000"/>
                  <a:lumMod val="60000"/>
                  <a:lumOff val="40000"/>
                </a:schemeClr>
              </a:gs>
              <a:gs pos="0">
                <a:schemeClr val="accent5">
                  <a:shade val="65000"/>
                </a:schemeClr>
              </a:gs>
            </a:gsLst>
            <a:lin ang="5400000" scaled="0"/>
          </a:gradFill>
          <a:ln w="19050">
            <a:solidFill>
              <a:schemeClr val="lt1"/>
            </a:solidFill>
          </a:ln>
          <a:effectLst/>
        </c:spPr>
      </c:pivotFmt>
      <c:pivotFmt>
        <c:idx val="13"/>
        <c:spPr>
          <a:gradFill>
            <a:gsLst>
              <a:gs pos="100000">
                <a:schemeClr val="accent5">
                  <a:lumMod val="60000"/>
                  <a:lumOff val="40000"/>
                </a:schemeClr>
              </a:gs>
              <a:gs pos="0">
                <a:schemeClr val="accent5"/>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100000">
                <a:schemeClr val="accent5">
                  <a:tint val="65000"/>
                  <a:lumMod val="60000"/>
                  <a:lumOff val="40000"/>
                </a:schemeClr>
              </a:gs>
              <a:gs pos="0">
                <a:schemeClr val="accent5">
                  <a:tint val="65000"/>
                </a:schemeClr>
              </a:gs>
            </a:gsLst>
            <a:lin ang="5400000" scaled="0"/>
          </a:gradFill>
          <a:ln w="19050">
            <a:solidFill>
              <a:schemeClr val="lt1"/>
            </a:solidFill>
          </a:ln>
          <a:effectLst/>
        </c:spPr>
        <c:dLbl>
          <c:idx val="0"/>
          <c:layout>
            <c:manualLayout>
              <c:x val="-0.20971762184988765"/>
              <c:y val="7.0542589132843114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gradFill>
            <a:gsLst>
              <a:gs pos="100000">
                <a:schemeClr val="accent5">
                  <a:lumMod val="60000"/>
                  <a:lumOff val="40000"/>
                </a:schemeClr>
              </a:gs>
              <a:gs pos="0">
                <a:schemeClr val="accent5"/>
              </a:gs>
            </a:gsLst>
            <a:lin ang="5400000" scaled="0"/>
          </a:gradFill>
          <a:ln w="19050">
            <a:solidFill>
              <a:schemeClr val="lt1"/>
            </a:solidFill>
          </a:ln>
          <a:effectLst/>
        </c:spPr>
        <c:dLbl>
          <c:idx val="0"/>
          <c:layout>
            <c:manualLayout>
              <c:x val="0.19865001072225716"/>
              <c:y val="-4.521975245714218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a:gsLst>
              <a:gs pos="100000">
                <a:schemeClr val="accent5">
                  <a:shade val="65000"/>
                  <a:lumMod val="60000"/>
                  <a:lumOff val="40000"/>
                </a:schemeClr>
              </a:gs>
              <a:gs pos="0">
                <a:schemeClr val="accent5">
                  <a:shade val="65000"/>
                </a:schemeClr>
              </a:gs>
            </a:gsLst>
            <a:lin ang="5400000" scaled="0"/>
          </a:gradFill>
          <a:ln w="19050">
            <a:solidFill>
              <a:schemeClr val="lt1"/>
            </a:solidFill>
          </a:ln>
          <a:effectLst/>
        </c:spPr>
      </c:pivotFmt>
    </c:pivotFmts>
    <c:plotArea>
      <c:layout/>
      <c:pieChart>
        <c:varyColors val="1"/>
        <c:ser>
          <c:idx val="0"/>
          <c:order val="0"/>
          <c:tx>
            <c:strRef>
              <c:f>'Pivot Table'!$E$18</c:f>
              <c:strCache>
                <c:ptCount val="1"/>
                <c:pt idx="0">
                  <c:v>Total</c:v>
                </c:pt>
              </c:strCache>
            </c:strRef>
          </c:tx>
          <c:dPt>
            <c:idx val="0"/>
            <c:bubble3D val="0"/>
            <c:spPr>
              <a:gradFill>
                <a:gsLst>
                  <a:gs pos="100000">
                    <a:schemeClr val="accent5">
                      <a:tint val="65000"/>
                      <a:lumMod val="60000"/>
                      <a:lumOff val="40000"/>
                    </a:schemeClr>
                  </a:gs>
                  <a:gs pos="0">
                    <a:schemeClr val="accent5">
                      <a:tint val="65000"/>
                    </a:schemeClr>
                  </a:gs>
                </a:gsLst>
                <a:lin ang="5400000" scaled="0"/>
              </a:gradFill>
              <a:ln w="19050">
                <a:solidFill>
                  <a:schemeClr val="lt1"/>
                </a:solidFill>
              </a:ln>
              <a:effectLst/>
            </c:spPr>
            <c:extLst>
              <c:ext xmlns:c16="http://schemas.microsoft.com/office/drawing/2014/chart" uri="{C3380CC4-5D6E-409C-BE32-E72D297353CC}">
                <c16:uniqueId val="{00000001-B0BE-415A-872E-7B4C04AB34DD}"/>
              </c:ext>
            </c:extLst>
          </c:dPt>
          <c:dPt>
            <c:idx val="1"/>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3-B0BE-415A-872E-7B4C04AB34DD}"/>
              </c:ext>
            </c:extLst>
          </c:dPt>
          <c:dPt>
            <c:idx val="2"/>
            <c:bubble3D val="0"/>
            <c:spPr>
              <a:gradFill>
                <a:gsLst>
                  <a:gs pos="100000">
                    <a:schemeClr val="accent5">
                      <a:shade val="65000"/>
                      <a:lumMod val="60000"/>
                      <a:lumOff val="40000"/>
                    </a:schemeClr>
                  </a:gs>
                  <a:gs pos="0">
                    <a:schemeClr val="accent5">
                      <a:shade val="65000"/>
                    </a:schemeClr>
                  </a:gs>
                </a:gsLst>
                <a:lin ang="5400000" scaled="0"/>
              </a:gradFill>
              <a:ln w="19050">
                <a:solidFill>
                  <a:schemeClr val="lt1"/>
                </a:solidFill>
              </a:ln>
              <a:effectLst/>
            </c:spPr>
            <c:extLst>
              <c:ext xmlns:c16="http://schemas.microsoft.com/office/drawing/2014/chart" uri="{C3380CC4-5D6E-409C-BE32-E72D297353CC}">
                <c16:uniqueId val="{00000005-B0BE-415A-872E-7B4C04AB34DD}"/>
              </c:ext>
            </c:extLst>
          </c:dPt>
          <c:dLbls>
            <c:dLbl>
              <c:idx val="0"/>
              <c:layout>
                <c:manualLayout>
                  <c:x val="-0.20971762184988765"/>
                  <c:y val="7.05425891328431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BE-415A-872E-7B4C04AB34DD}"/>
                </c:ext>
              </c:extLst>
            </c:dLbl>
            <c:dLbl>
              <c:idx val="1"/>
              <c:layout>
                <c:manualLayout>
                  <c:x val="0.19865001072225716"/>
                  <c:y val="-4.5219752457142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0BE-415A-872E-7B4C04AB34DD}"/>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Table'!$D$19:$D$22</c:f>
              <c:strCache>
                <c:ptCount val="3"/>
                <c:pt idx="0">
                  <c:v>Bat</c:v>
                </c:pt>
                <c:pt idx="1">
                  <c:v>Field</c:v>
                </c:pt>
                <c:pt idx="2">
                  <c:v>(blank)</c:v>
                </c:pt>
              </c:strCache>
            </c:strRef>
          </c:cat>
          <c:val>
            <c:numRef>
              <c:f>'Pivot Table'!$E$19:$E$22</c:f>
              <c:numCache>
                <c:formatCode>General</c:formatCode>
                <c:ptCount val="3"/>
                <c:pt idx="0">
                  <c:v>44</c:v>
                </c:pt>
                <c:pt idx="1">
                  <c:v>52</c:v>
                </c:pt>
              </c:numCache>
            </c:numRef>
          </c:val>
          <c:extLst>
            <c:ext xmlns:c16="http://schemas.microsoft.com/office/drawing/2014/chart" uri="{C3380CC4-5D6E-409C-BE32-E72D297353CC}">
              <c16:uniqueId val="{00000006-B0BE-415A-872E-7B4C04AB34D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[CricketWC_2023 Project.xlsx]Pivot Table!PivotTable6</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Table'!$H$3:$H$4</c:f>
              <c:strCache>
                <c:ptCount val="1"/>
                <c:pt idx="0">
                  <c:v>Loss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Table'!$G$5:$G$16</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Table'!$H$5:$H$16</c:f>
              <c:numCache>
                <c:formatCode>General</c:formatCode>
                <c:ptCount val="11"/>
                <c:pt idx="0">
                  <c:v>5</c:v>
                </c:pt>
                <c:pt idx="1">
                  <c:v>2</c:v>
                </c:pt>
                <c:pt idx="2">
                  <c:v>7</c:v>
                </c:pt>
                <c:pt idx="3">
                  <c:v>6</c:v>
                </c:pt>
                <c:pt idx="4">
                  <c:v>1</c:v>
                </c:pt>
                <c:pt idx="5">
                  <c:v>7</c:v>
                </c:pt>
                <c:pt idx="6">
                  <c:v>5</c:v>
                </c:pt>
                <c:pt idx="7">
                  <c:v>5</c:v>
                </c:pt>
                <c:pt idx="8">
                  <c:v>3</c:v>
                </c:pt>
                <c:pt idx="9">
                  <c:v>7</c:v>
                </c:pt>
              </c:numCache>
            </c:numRef>
          </c:val>
          <c:extLst>
            <c:ext xmlns:c16="http://schemas.microsoft.com/office/drawing/2014/chart" uri="{C3380CC4-5D6E-409C-BE32-E72D297353CC}">
              <c16:uniqueId val="{00000000-DC74-4701-954F-EFA3A837E2F8}"/>
            </c:ext>
          </c:extLst>
        </c:ser>
        <c:ser>
          <c:idx val="1"/>
          <c:order val="1"/>
          <c:tx>
            <c:strRef>
              <c:f>'Pivot Table'!$I$3:$I$4</c:f>
              <c:strCache>
                <c:ptCount val="1"/>
                <c:pt idx="0">
                  <c:v>Win</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Table'!$G$5:$G$16</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Table'!$I$5:$I$16</c:f>
              <c:numCache>
                <c:formatCode>General</c:formatCode>
                <c:ptCount val="11"/>
                <c:pt idx="0">
                  <c:v>4</c:v>
                </c:pt>
                <c:pt idx="1">
                  <c:v>9</c:v>
                </c:pt>
                <c:pt idx="2">
                  <c:v>2</c:v>
                </c:pt>
                <c:pt idx="3">
                  <c:v>3</c:v>
                </c:pt>
                <c:pt idx="4">
                  <c:v>10</c:v>
                </c:pt>
                <c:pt idx="5">
                  <c:v>2</c:v>
                </c:pt>
                <c:pt idx="6">
                  <c:v>5</c:v>
                </c:pt>
                <c:pt idx="7">
                  <c:v>4</c:v>
                </c:pt>
                <c:pt idx="8">
                  <c:v>7</c:v>
                </c:pt>
                <c:pt idx="9">
                  <c:v>2</c:v>
                </c:pt>
              </c:numCache>
            </c:numRef>
          </c:val>
          <c:extLst>
            <c:ext xmlns:c16="http://schemas.microsoft.com/office/drawing/2014/chart" uri="{C3380CC4-5D6E-409C-BE32-E72D297353CC}">
              <c16:uniqueId val="{00000002-D943-48D6-BF5E-EDB2A3E9F89D}"/>
            </c:ext>
          </c:extLst>
        </c:ser>
        <c:ser>
          <c:idx val="2"/>
          <c:order val="2"/>
          <c:tx>
            <c:strRef>
              <c:f>'Pivot Table'!$J$3:$J$4</c:f>
              <c:strCache>
                <c:ptCount val="1"/>
                <c:pt idx="0">
                  <c:v>(blank)</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Table'!$G$5:$G$16</c:f>
              <c:strCache>
                <c:ptCount val="11"/>
                <c:pt idx="0">
                  <c:v>Afghanistan</c:v>
                </c:pt>
                <c:pt idx="1">
                  <c:v>Australia</c:v>
                </c:pt>
                <c:pt idx="2">
                  <c:v>Bangladesh</c:v>
                </c:pt>
                <c:pt idx="3">
                  <c:v>England</c:v>
                </c:pt>
                <c:pt idx="4">
                  <c:v>India</c:v>
                </c:pt>
                <c:pt idx="5">
                  <c:v>Netherlands</c:v>
                </c:pt>
                <c:pt idx="6">
                  <c:v>NewZealand</c:v>
                </c:pt>
                <c:pt idx="7">
                  <c:v>Pakistan</c:v>
                </c:pt>
                <c:pt idx="8">
                  <c:v>South Africa</c:v>
                </c:pt>
                <c:pt idx="9">
                  <c:v>Sri Lanka</c:v>
                </c:pt>
                <c:pt idx="10">
                  <c:v>(blank)</c:v>
                </c:pt>
              </c:strCache>
            </c:strRef>
          </c:cat>
          <c:val>
            <c:numRef>
              <c:f>'Pivot Table'!$J$5:$J$16</c:f>
              <c:numCache>
                <c:formatCode>General</c:formatCode>
                <c:ptCount val="11"/>
              </c:numCache>
            </c:numRef>
          </c:val>
          <c:extLst>
            <c:ext xmlns:c16="http://schemas.microsoft.com/office/drawing/2014/chart" uri="{C3380CC4-5D6E-409C-BE32-E72D297353CC}">
              <c16:uniqueId val="{00000003-D943-48D6-BF5E-EDB2A3E9F89D}"/>
            </c:ext>
          </c:extLst>
        </c:ser>
        <c:dLbls>
          <c:dLblPos val="ctr"/>
          <c:showLegendKey val="0"/>
          <c:showVal val="1"/>
          <c:showCatName val="0"/>
          <c:showSerName val="0"/>
          <c:showPercent val="0"/>
          <c:showBubbleSize val="0"/>
        </c:dLbls>
        <c:gapWidth val="150"/>
        <c:overlap val="100"/>
        <c:axId val="207269632"/>
        <c:axId val="170782000"/>
      </c:barChart>
      <c:catAx>
        <c:axId val="2072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1" i="0" u="none" strike="noStrike" kern="1200" baseline="0">
                <a:solidFill>
                  <a:schemeClr val="tx1"/>
                </a:solidFill>
                <a:latin typeface="+mn-lt"/>
                <a:ea typeface="+mn-ea"/>
                <a:cs typeface="+mn-cs"/>
              </a:defRPr>
            </a:pPr>
            <a:endParaRPr lang="en-US"/>
          </a:p>
        </c:txPr>
        <c:crossAx val="170782000"/>
        <c:crosses val="autoZero"/>
        <c:auto val="1"/>
        <c:lblAlgn val="ctr"/>
        <c:lblOffset val="100"/>
        <c:noMultiLvlLbl val="0"/>
      </c:catAx>
      <c:valAx>
        <c:axId val="170782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20726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28574</xdr:colOff>
      <xdr:row>13</xdr:row>
      <xdr:rowOff>180975</xdr:rowOff>
    </xdr:to>
    <xdr:graphicFrame macro="">
      <xdr:nvGraphicFramePr>
        <xdr:cNvPr id="2" name="Chart 1">
          <a:extLst>
            <a:ext uri="{FF2B5EF4-FFF2-40B4-BE49-F238E27FC236}">
              <a16:creationId xmlns:a16="http://schemas.microsoft.com/office/drawing/2014/main" id="{8000F3CE-2018-4F8A-B983-DF4B6C39B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18</xdr:row>
      <xdr:rowOff>9525</xdr:rowOff>
    </xdr:from>
    <xdr:to>
      <xdr:col>12</xdr:col>
      <xdr:colOff>0</xdr:colOff>
      <xdr:row>34</xdr:row>
      <xdr:rowOff>9525</xdr:rowOff>
    </xdr:to>
    <xdr:graphicFrame macro="">
      <xdr:nvGraphicFramePr>
        <xdr:cNvPr id="5" name="Chart 4">
          <a:extLst>
            <a:ext uri="{FF2B5EF4-FFF2-40B4-BE49-F238E27FC236}">
              <a16:creationId xmlns:a16="http://schemas.microsoft.com/office/drawing/2014/main" id="{DD9AFA52-487E-4AD7-BF60-0115BA60B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0</xdr:row>
      <xdr:rowOff>0</xdr:rowOff>
    </xdr:from>
    <xdr:to>
      <xdr:col>16</xdr:col>
      <xdr:colOff>19050</xdr:colOff>
      <xdr:row>14</xdr:row>
      <xdr:rowOff>0</xdr:rowOff>
    </xdr:to>
    <xdr:graphicFrame macro="">
      <xdr:nvGraphicFramePr>
        <xdr:cNvPr id="6" name="Chart 5">
          <a:extLst>
            <a:ext uri="{FF2B5EF4-FFF2-40B4-BE49-F238E27FC236}">
              <a16:creationId xmlns:a16="http://schemas.microsoft.com/office/drawing/2014/main" id="{8FA322E0-ECD1-440C-97B2-3FE8A1D67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9525</xdr:colOff>
      <xdr:row>18</xdr:row>
      <xdr:rowOff>9524</xdr:rowOff>
    </xdr:from>
    <xdr:to>
      <xdr:col>23</xdr:col>
      <xdr:colOff>314325</xdr:colOff>
      <xdr:row>34</xdr:row>
      <xdr:rowOff>0</xdr:rowOff>
    </xdr:to>
    <xdr:graphicFrame macro="">
      <xdr:nvGraphicFramePr>
        <xdr:cNvPr id="7" name="Chart 6">
          <a:extLst>
            <a:ext uri="{FF2B5EF4-FFF2-40B4-BE49-F238E27FC236}">
              <a16:creationId xmlns:a16="http://schemas.microsoft.com/office/drawing/2014/main" id="{6BDC0A41-8D90-4C2F-9C55-8CCBFC551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0</xdr:row>
      <xdr:rowOff>0</xdr:rowOff>
    </xdr:from>
    <xdr:to>
      <xdr:col>24</xdr:col>
      <xdr:colOff>304800</xdr:colOff>
      <xdr:row>14</xdr:row>
      <xdr:rowOff>0</xdr:rowOff>
    </xdr:to>
    <xdr:graphicFrame macro="">
      <xdr:nvGraphicFramePr>
        <xdr:cNvPr id="8" name="Chart 7">
          <a:extLst>
            <a:ext uri="{FF2B5EF4-FFF2-40B4-BE49-F238E27FC236}">
              <a16:creationId xmlns:a16="http://schemas.microsoft.com/office/drawing/2014/main" id="{A6E94028-5441-41D1-BB66-D8B17297E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xdr:row>
      <xdr:rowOff>0</xdr:rowOff>
    </xdr:from>
    <xdr:to>
      <xdr:col>8</xdr:col>
      <xdr:colOff>19050</xdr:colOff>
      <xdr:row>15</xdr:row>
      <xdr:rowOff>95250</xdr:rowOff>
    </xdr:to>
    <xdr:sp macro="" textlink="">
      <xdr:nvSpPr>
        <xdr:cNvPr id="9" name="Rectangle 8">
          <a:extLst>
            <a:ext uri="{FF2B5EF4-FFF2-40B4-BE49-F238E27FC236}">
              <a16:creationId xmlns:a16="http://schemas.microsoft.com/office/drawing/2014/main" id="{DDDCBCCA-0056-4BF9-B7C6-359CF331F2E5}"/>
            </a:ext>
          </a:extLst>
        </xdr:cNvPr>
        <xdr:cNvSpPr/>
      </xdr:nvSpPr>
      <xdr:spPr>
        <a:xfrm>
          <a:off x="0" y="2667000"/>
          <a:ext cx="4895850" cy="285750"/>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400" b="1">
              <a:solidFill>
                <a:schemeClr val="bg2"/>
              </a:solidFill>
            </a:rPr>
            <a:t>Total Runs Scored as per Teams</a:t>
          </a:r>
        </a:p>
      </xdr:txBody>
    </xdr:sp>
    <xdr:clientData/>
  </xdr:twoCellAnchor>
  <xdr:twoCellAnchor>
    <xdr:from>
      <xdr:col>9</xdr:col>
      <xdr:colOff>0</xdr:colOff>
      <xdr:row>14</xdr:row>
      <xdr:rowOff>0</xdr:rowOff>
    </xdr:from>
    <xdr:to>
      <xdr:col>16</xdr:col>
      <xdr:colOff>19050</xdr:colOff>
      <xdr:row>15</xdr:row>
      <xdr:rowOff>95250</xdr:rowOff>
    </xdr:to>
    <xdr:sp macro="" textlink="">
      <xdr:nvSpPr>
        <xdr:cNvPr id="10" name="Rectangle 9">
          <a:extLst>
            <a:ext uri="{FF2B5EF4-FFF2-40B4-BE49-F238E27FC236}">
              <a16:creationId xmlns:a16="http://schemas.microsoft.com/office/drawing/2014/main" id="{91475CB0-5C35-4441-92E5-58B26354ED63}"/>
            </a:ext>
          </a:extLst>
        </xdr:cNvPr>
        <xdr:cNvSpPr/>
      </xdr:nvSpPr>
      <xdr:spPr>
        <a:xfrm>
          <a:off x="5486400" y="2667000"/>
          <a:ext cx="4286250" cy="285750"/>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400" b="1">
              <a:solidFill>
                <a:schemeClr val="bg2"/>
              </a:solidFill>
            </a:rPr>
            <a:t>Total Runs Scored as per Teams</a:t>
          </a:r>
        </a:p>
      </xdr:txBody>
    </xdr:sp>
    <xdr:clientData/>
  </xdr:twoCellAnchor>
  <xdr:twoCellAnchor>
    <xdr:from>
      <xdr:col>17</xdr:col>
      <xdr:colOff>9526</xdr:colOff>
      <xdr:row>14</xdr:row>
      <xdr:rowOff>0</xdr:rowOff>
    </xdr:from>
    <xdr:to>
      <xdr:col>24</xdr:col>
      <xdr:colOff>314326</xdr:colOff>
      <xdr:row>15</xdr:row>
      <xdr:rowOff>95250</xdr:rowOff>
    </xdr:to>
    <xdr:sp macro="" textlink="">
      <xdr:nvSpPr>
        <xdr:cNvPr id="11" name="Rectangle 10">
          <a:extLst>
            <a:ext uri="{FF2B5EF4-FFF2-40B4-BE49-F238E27FC236}">
              <a16:creationId xmlns:a16="http://schemas.microsoft.com/office/drawing/2014/main" id="{17DE21D0-D92A-4CEF-9B94-B71778F005A4}"/>
            </a:ext>
          </a:extLst>
        </xdr:cNvPr>
        <xdr:cNvSpPr/>
      </xdr:nvSpPr>
      <xdr:spPr>
        <a:xfrm>
          <a:off x="10372726" y="2667000"/>
          <a:ext cx="4572000" cy="285750"/>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400" b="1">
              <a:solidFill>
                <a:schemeClr val="bg2"/>
              </a:solidFill>
            </a:rPr>
            <a:t>Total Runs Scored as per Teams</a:t>
          </a:r>
        </a:p>
      </xdr:txBody>
    </xdr:sp>
    <xdr:clientData/>
  </xdr:twoCellAnchor>
  <xdr:twoCellAnchor>
    <xdr:from>
      <xdr:col>4</xdr:col>
      <xdr:colOff>0</xdr:colOff>
      <xdr:row>34</xdr:row>
      <xdr:rowOff>0</xdr:rowOff>
    </xdr:from>
    <xdr:to>
      <xdr:col>12</xdr:col>
      <xdr:colOff>0</xdr:colOff>
      <xdr:row>35</xdr:row>
      <xdr:rowOff>95250</xdr:rowOff>
    </xdr:to>
    <xdr:sp macro="" textlink="">
      <xdr:nvSpPr>
        <xdr:cNvPr id="12" name="Rectangle 11">
          <a:extLst>
            <a:ext uri="{FF2B5EF4-FFF2-40B4-BE49-F238E27FC236}">
              <a16:creationId xmlns:a16="http://schemas.microsoft.com/office/drawing/2014/main" id="{F9F4A286-E130-4400-81CD-66DC7F124EE9}"/>
            </a:ext>
          </a:extLst>
        </xdr:cNvPr>
        <xdr:cNvSpPr/>
      </xdr:nvSpPr>
      <xdr:spPr>
        <a:xfrm>
          <a:off x="2438400" y="6477000"/>
          <a:ext cx="4876800" cy="285750"/>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400" b="1">
              <a:solidFill>
                <a:schemeClr val="lt1"/>
              </a:solidFill>
              <a:effectLst/>
              <a:latin typeface="+mn-lt"/>
              <a:ea typeface="+mn-ea"/>
              <a:cs typeface="+mn-cs"/>
            </a:rPr>
            <a:t>Average</a:t>
          </a:r>
          <a:r>
            <a:rPr lang="en-US" sz="1400" b="1" baseline="0">
              <a:solidFill>
                <a:schemeClr val="lt1"/>
              </a:solidFill>
              <a:effectLst/>
              <a:latin typeface="+mn-lt"/>
              <a:ea typeface="+mn-ea"/>
              <a:cs typeface="+mn-cs"/>
            </a:rPr>
            <a:t> Score As per Venue</a:t>
          </a:r>
          <a:endParaRPr lang="en-IN" sz="1400">
            <a:effectLst/>
          </a:endParaRPr>
        </a:p>
      </xdr:txBody>
    </xdr:sp>
    <xdr:clientData/>
  </xdr:twoCellAnchor>
  <xdr:twoCellAnchor>
    <xdr:from>
      <xdr:col>16</xdr:col>
      <xdr:colOff>0</xdr:colOff>
      <xdr:row>34</xdr:row>
      <xdr:rowOff>0</xdr:rowOff>
    </xdr:from>
    <xdr:to>
      <xdr:col>23</xdr:col>
      <xdr:colOff>323850</xdr:colOff>
      <xdr:row>35</xdr:row>
      <xdr:rowOff>95250</xdr:rowOff>
    </xdr:to>
    <xdr:sp macro="" textlink="">
      <xdr:nvSpPr>
        <xdr:cNvPr id="13" name="Rectangle 12">
          <a:extLst>
            <a:ext uri="{FF2B5EF4-FFF2-40B4-BE49-F238E27FC236}">
              <a16:creationId xmlns:a16="http://schemas.microsoft.com/office/drawing/2014/main" id="{795D6639-6090-4378-A32B-B93FA6EDC6A6}"/>
            </a:ext>
          </a:extLst>
        </xdr:cNvPr>
        <xdr:cNvSpPr/>
      </xdr:nvSpPr>
      <xdr:spPr>
        <a:xfrm>
          <a:off x="9753600" y="6477000"/>
          <a:ext cx="4591050" cy="285750"/>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IN" sz="1400" b="1"/>
            <a:t>Win %: Batting First vs Fielding First</a:t>
          </a:r>
          <a:endParaRPr lang="en-US" sz="1400" b="1">
            <a:solidFill>
              <a:schemeClr val="bg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2257425</xdr:colOff>
      <xdr:row>1</xdr:row>
      <xdr:rowOff>0</xdr:rowOff>
    </xdr:from>
    <xdr:to>
      <xdr:col>8</xdr:col>
      <xdr:colOff>523875</xdr:colOff>
      <xdr:row>4</xdr:row>
      <xdr:rowOff>1270</xdr:rowOff>
    </xdr:to>
    <xdr:sp macro="" textlink="">
      <xdr:nvSpPr>
        <xdr:cNvPr id="7" name="Oval 6">
          <a:extLst>
            <a:ext uri="{FF2B5EF4-FFF2-40B4-BE49-F238E27FC236}">
              <a16:creationId xmlns:a16="http://schemas.microsoft.com/office/drawing/2014/main" id="{00000000-0008-0000-0600-000007000000}"/>
            </a:ext>
          </a:extLst>
        </xdr:cNvPr>
        <xdr:cNvSpPr/>
      </xdr:nvSpPr>
      <xdr:spPr>
        <a:xfrm>
          <a:off x="12496800" y="238125"/>
          <a:ext cx="733425" cy="725170"/>
        </a:xfrm>
        <a:prstGeom prst="ellipse">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2028825</xdr:colOff>
      <xdr:row>0</xdr:row>
      <xdr:rowOff>236855</xdr:rowOff>
    </xdr:from>
    <xdr:to>
      <xdr:col>5</xdr:col>
      <xdr:colOff>238125</xdr:colOff>
      <xdr:row>4</xdr:row>
      <xdr:rowOff>0</xdr:rowOff>
    </xdr:to>
    <xdr:sp macro="" textlink="">
      <xdr:nvSpPr>
        <xdr:cNvPr id="4" name="Oval 3">
          <a:extLst>
            <a:ext uri="{FF2B5EF4-FFF2-40B4-BE49-F238E27FC236}">
              <a16:creationId xmlns:a16="http://schemas.microsoft.com/office/drawing/2014/main" id="{00000000-0008-0000-0600-000004000000}"/>
            </a:ext>
          </a:extLst>
        </xdr:cNvPr>
        <xdr:cNvSpPr/>
      </xdr:nvSpPr>
      <xdr:spPr>
        <a:xfrm>
          <a:off x="5543550" y="236855"/>
          <a:ext cx="733425" cy="725170"/>
        </a:xfrm>
        <a:prstGeom prst="ellipse">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editAs="oneCell">
    <xdr:from>
      <xdr:col>4</xdr:col>
      <xdr:colOff>1947545</xdr:colOff>
      <xdr:row>1</xdr:row>
      <xdr:rowOff>27305</xdr:rowOff>
    </xdr:from>
    <xdr:to>
      <xdr:col>5</xdr:col>
      <xdr:colOff>316230</xdr:colOff>
      <xdr:row>3</xdr:row>
      <xdr:rowOff>208915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r:link="rId2"/>
        <a:stretch>
          <a:fillRect/>
        </a:stretch>
      </xdr:blipFill>
      <xdr:spPr>
        <a:xfrm>
          <a:off x="5462270" y="265430"/>
          <a:ext cx="892810" cy="657860"/>
        </a:xfrm>
        <a:prstGeom prst="rect">
          <a:avLst/>
        </a:prstGeom>
        <a:noFill/>
        <a:ln>
          <a:noFill/>
        </a:ln>
      </xdr:spPr>
    </xdr:pic>
    <xdr:clientData/>
  </xdr:twoCellAnchor>
  <xdr:twoCellAnchor editAs="oneCell">
    <xdr:from>
      <xdr:col>7</xdr:col>
      <xdr:colOff>2183765</xdr:colOff>
      <xdr:row>0</xdr:row>
      <xdr:rowOff>233045</xdr:rowOff>
    </xdr:from>
    <xdr:to>
      <xdr:col>8</xdr:col>
      <xdr:colOff>609600</xdr:colOff>
      <xdr:row>3</xdr:row>
      <xdr:rowOff>176530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r:link="rId2"/>
        <a:stretch>
          <a:fillRect/>
        </a:stretch>
      </xdr:blipFill>
      <xdr:spPr>
        <a:xfrm>
          <a:off x="12423140" y="233045"/>
          <a:ext cx="892810" cy="65786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200025</xdr:colOff>
      <xdr:row>22</xdr:row>
      <xdr:rowOff>114300</xdr:rowOff>
    </xdr:from>
    <xdr:to>
      <xdr:col>27</xdr:col>
      <xdr:colOff>590549</xdr:colOff>
      <xdr:row>26</xdr:row>
      <xdr:rowOff>131442</xdr:rowOff>
    </xdr:to>
    <xdr:pic>
      <xdr:nvPicPr>
        <xdr:cNvPr id="16" name="Picture 15" descr="Generated image: Dynamic Cricket Bowler in Motion">
          <a:extLst>
            <a:ext uri="{FF2B5EF4-FFF2-40B4-BE49-F238E27FC236}">
              <a16:creationId xmlns:a16="http://schemas.microsoft.com/office/drawing/2014/main" id="{00000000-0008-0000-0700-000010000000}"/>
            </a:ext>
          </a:extLst>
        </xdr:cNvPr>
        <xdr:cNvPicPr>
          <a:picLocks noChangeAspect="1"/>
        </xdr:cNvPicPr>
      </xdr:nvPicPr>
      <xdr:blipFill>
        <a:stretch>
          <a:fillRect/>
        </a:stretch>
      </xdr:blipFill>
      <xdr:spPr>
        <a:xfrm flipV="1">
          <a:off x="14220825" y="3305175"/>
          <a:ext cx="2828924" cy="588642"/>
        </a:xfrm>
        <a:prstGeom prst="rect">
          <a:avLst/>
        </a:prstGeom>
        <a:noFill/>
        <a:ln>
          <a:noFill/>
        </a:ln>
      </xdr:spPr>
    </xdr:pic>
    <xdr:clientData/>
  </xdr:twoCellAnchor>
  <xdr:twoCellAnchor>
    <xdr:from>
      <xdr:col>0</xdr:col>
      <xdr:colOff>66675</xdr:colOff>
      <xdr:row>0</xdr:row>
      <xdr:rowOff>114300</xdr:rowOff>
    </xdr:from>
    <xdr:to>
      <xdr:col>39</xdr:col>
      <xdr:colOff>0</xdr:colOff>
      <xdr:row>66</xdr:row>
      <xdr:rowOff>50800</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66675" y="114300"/>
          <a:ext cx="23707725" cy="9258300"/>
        </a:xfrm>
        <a:prstGeom prst="roundRect">
          <a:avLst>
            <a:gd name="adj" fmla="val 5953"/>
          </a:avLst>
        </a:prstGeom>
        <a:solidFill>
          <a:schemeClr val="accent1">
            <a:lumMod val="60000"/>
            <a:lumOff val="4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endParaRPr lang="en-US" sz="2000">
            <a:latin typeface="Aharoni" panose="020F0502020204030204" pitchFamily="2" charset="-79"/>
            <a:cs typeface="Aharoni" panose="020F0502020204030204" pitchFamily="2" charset="-79"/>
          </a:endParaRPr>
        </a:p>
      </xdr:txBody>
    </xdr:sp>
    <xdr:clientData/>
  </xdr:twoCellAnchor>
  <xdr:twoCellAnchor>
    <xdr:from>
      <xdr:col>10</xdr:col>
      <xdr:colOff>266700</xdr:colOff>
      <xdr:row>1</xdr:row>
      <xdr:rowOff>82550</xdr:rowOff>
    </xdr:from>
    <xdr:to>
      <xdr:col>27</xdr:col>
      <xdr:colOff>444500</xdr:colOff>
      <xdr:row>5</xdr:row>
      <xdr:rowOff>127000</xdr:rowOff>
    </xdr:to>
    <xdr:sp macro="" textlink="">
      <xdr:nvSpPr>
        <xdr:cNvPr id="3" name="Rounded Rectangle 2">
          <a:extLst>
            <a:ext uri="{FF2B5EF4-FFF2-40B4-BE49-F238E27FC236}">
              <a16:creationId xmlns:a16="http://schemas.microsoft.com/office/drawing/2014/main" id="{00000000-0008-0000-0700-000003000000}"/>
            </a:ext>
          </a:extLst>
        </xdr:cNvPr>
        <xdr:cNvSpPr/>
      </xdr:nvSpPr>
      <xdr:spPr>
        <a:xfrm>
          <a:off x="6362700" y="273050"/>
          <a:ext cx="10541000" cy="603250"/>
        </a:xfrm>
        <a:prstGeom prst="round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solidFill>
              <a:schemeClr val="bg2"/>
            </a:solidFill>
          </a:endParaRPr>
        </a:p>
      </xdr:txBody>
    </xdr:sp>
    <xdr:clientData/>
  </xdr:twoCellAnchor>
  <xdr:twoCellAnchor>
    <xdr:from>
      <xdr:col>15</xdr:col>
      <xdr:colOff>572135</xdr:colOff>
      <xdr:row>7</xdr:row>
      <xdr:rowOff>50800</xdr:rowOff>
    </xdr:from>
    <xdr:to>
      <xdr:col>19</xdr:col>
      <xdr:colOff>113735</xdr:colOff>
      <xdr:row>13</xdr:row>
      <xdr:rowOff>4600</xdr:rowOff>
    </xdr:to>
    <xdr:sp macro="" textlink="">
      <xdr:nvSpPr>
        <xdr:cNvPr id="10" name="Rounded Rectangle 9">
          <a:extLst>
            <a:ext uri="{FF2B5EF4-FFF2-40B4-BE49-F238E27FC236}">
              <a16:creationId xmlns:a16="http://schemas.microsoft.com/office/drawing/2014/main" id="{00000000-0008-0000-0700-00000A000000}"/>
            </a:ext>
          </a:extLst>
        </xdr:cNvPr>
        <xdr:cNvSpPr/>
      </xdr:nvSpPr>
      <xdr:spPr>
        <a:xfrm>
          <a:off x="9716135" y="1079500"/>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accent5">
                  <a:lumMod val="50000"/>
                </a:schemeClr>
              </a:solidFill>
              <a:sym typeface="+mn-ea"/>
            </a:rPr>
            <a:t>Average Score</a:t>
          </a:r>
          <a:endParaRPr lang="en-US" sz="1800" b="1">
            <a:solidFill>
              <a:schemeClr val="accent5">
                <a:lumMod val="50000"/>
              </a:schemeClr>
            </a:solidFill>
          </a:endParaRPr>
        </a:p>
        <a:p>
          <a:pPr algn="ctr"/>
          <a:endParaRPr lang="en-US" sz="1800" b="1">
            <a:solidFill>
              <a:schemeClr val="accent5">
                <a:lumMod val="50000"/>
              </a:schemeClr>
            </a:solidFill>
          </a:endParaRPr>
        </a:p>
      </xdr:txBody>
    </xdr:sp>
    <xdr:clientData/>
  </xdr:twoCellAnchor>
  <xdr:twoCellAnchor>
    <xdr:from>
      <xdr:col>16</xdr:col>
      <xdr:colOff>0</xdr:colOff>
      <xdr:row>10</xdr:row>
      <xdr:rowOff>68101</xdr:rowOff>
    </xdr:from>
    <xdr:to>
      <xdr:col>19</xdr:col>
      <xdr:colOff>143036</xdr:colOff>
      <xdr:row>12</xdr:row>
      <xdr:rowOff>128744</xdr:rowOff>
    </xdr:to>
    <xdr:sp macro="" textlink="Statistics!I17">
      <xdr:nvSpPr>
        <xdr:cNvPr id="26" name="TextBox 25">
          <a:extLst>
            <a:ext uri="{FF2B5EF4-FFF2-40B4-BE49-F238E27FC236}">
              <a16:creationId xmlns:a16="http://schemas.microsoft.com/office/drawing/2014/main" id="{8E4FBF1D-E4CB-4863-B6E3-AB9CEE429426}"/>
            </a:ext>
          </a:extLst>
        </xdr:cNvPr>
        <xdr:cNvSpPr txBox="1"/>
      </xdr:nvSpPr>
      <xdr:spPr>
        <a:xfrm>
          <a:off x="9797143" y="1605708"/>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0D4706-4916-405E-A2AF-B8901F816268}" type="TxLink">
            <a:rPr lang="en-US" sz="2400" b="1" i="0" u="none" strike="noStrike">
              <a:solidFill>
                <a:schemeClr val="accent5">
                  <a:lumMod val="50000"/>
                </a:schemeClr>
              </a:solidFill>
              <a:latin typeface="Calibri"/>
              <a:ea typeface="Calibri"/>
              <a:cs typeface="Calibri"/>
            </a:rPr>
            <a:pPr algn="ctr"/>
            <a:t>256.66</a:t>
          </a:fld>
          <a:endParaRPr lang="en-IN" sz="2400" b="1">
            <a:solidFill>
              <a:schemeClr val="accent5">
                <a:lumMod val="50000"/>
              </a:schemeClr>
            </a:solidFill>
          </a:endParaRPr>
        </a:p>
      </xdr:txBody>
    </xdr:sp>
    <xdr:clientData/>
  </xdr:twoCellAnchor>
  <xdr:twoCellAnchor>
    <xdr:from>
      <xdr:col>2</xdr:col>
      <xdr:colOff>57150</xdr:colOff>
      <xdr:row>7</xdr:row>
      <xdr:rowOff>47625</xdr:rowOff>
    </xdr:from>
    <xdr:to>
      <xdr:col>5</xdr:col>
      <xdr:colOff>208350</xdr:colOff>
      <xdr:row>13</xdr:row>
      <xdr:rowOff>1425</xdr:rowOff>
    </xdr:to>
    <xdr:sp macro="" textlink="">
      <xdr:nvSpPr>
        <xdr:cNvPr id="6" name="Rounded Rectangle 5">
          <a:extLst>
            <a:ext uri="{FF2B5EF4-FFF2-40B4-BE49-F238E27FC236}">
              <a16:creationId xmlns:a16="http://schemas.microsoft.com/office/drawing/2014/main" id="{00000000-0008-0000-0700-000006000000}"/>
            </a:ext>
          </a:extLst>
        </xdr:cNvPr>
        <xdr:cNvSpPr/>
      </xdr:nvSpPr>
      <xdr:spPr>
        <a:xfrm>
          <a:off x="1276350" y="1076325"/>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p>
          <a:pPr algn="ctr"/>
          <a:r>
            <a:rPr lang="en-US" sz="1800" b="1">
              <a:solidFill>
                <a:schemeClr val="accent5">
                  <a:lumMod val="50000"/>
                </a:schemeClr>
              </a:solidFill>
            </a:rPr>
            <a:t>Total Matches</a:t>
          </a:r>
        </a:p>
      </xdr:txBody>
    </xdr:sp>
    <xdr:clientData/>
  </xdr:twoCellAnchor>
  <xdr:twoCellAnchor>
    <xdr:from>
      <xdr:col>6</xdr:col>
      <xdr:colOff>495935</xdr:colOff>
      <xdr:row>7</xdr:row>
      <xdr:rowOff>66675</xdr:rowOff>
    </xdr:from>
    <xdr:to>
      <xdr:col>10</xdr:col>
      <xdr:colOff>37535</xdr:colOff>
      <xdr:row>13</xdr:row>
      <xdr:rowOff>20475</xdr:rowOff>
    </xdr:to>
    <xdr:sp macro="" textlink="">
      <xdr:nvSpPr>
        <xdr:cNvPr id="7" name="Rounded Rectangle 6">
          <a:extLst>
            <a:ext uri="{FF2B5EF4-FFF2-40B4-BE49-F238E27FC236}">
              <a16:creationId xmlns:a16="http://schemas.microsoft.com/office/drawing/2014/main" id="{00000000-0008-0000-0700-000007000000}"/>
            </a:ext>
          </a:extLst>
        </xdr:cNvPr>
        <xdr:cNvSpPr/>
      </xdr:nvSpPr>
      <xdr:spPr>
        <a:xfrm>
          <a:off x="4153535" y="1095375"/>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accent5">
                  <a:lumMod val="50000"/>
                </a:schemeClr>
              </a:solidFill>
            </a:rPr>
            <a:t>Total Runs </a:t>
          </a:r>
        </a:p>
        <a:p>
          <a:pPr algn="ctr"/>
          <a:endParaRPr lang="en-US" sz="1800" b="1">
            <a:solidFill>
              <a:schemeClr val="accent5">
                <a:lumMod val="50000"/>
              </a:schemeClr>
            </a:solidFill>
          </a:endParaRPr>
        </a:p>
      </xdr:txBody>
    </xdr:sp>
    <xdr:clientData/>
  </xdr:twoCellAnchor>
  <xdr:twoCellAnchor>
    <xdr:from>
      <xdr:col>11</xdr:col>
      <xdr:colOff>162560</xdr:colOff>
      <xdr:row>7</xdr:row>
      <xdr:rowOff>66675</xdr:rowOff>
    </xdr:from>
    <xdr:to>
      <xdr:col>14</xdr:col>
      <xdr:colOff>313760</xdr:colOff>
      <xdr:row>13</xdr:row>
      <xdr:rowOff>20475</xdr:rowOff>
    </xdr:to>
    <xdr:sp macro="" textlink="">
      <xdr:nvSpPr>
        <xdr:cNvPr id="8" name="Rounded Rectangle 7">
          <a:extLst>
            <a:ext uri="{FF2B5EF4-FFF2-40B4-BE49-F238E27FC236}">
              <a16:creationId xmlns:a16="http://schemas.microsoft.com/office/drawing/2014/main" id="{00000000-0008-0000-0700-000008000000}"/>
            </a:ext>
          </a:extLst>
        </xdr:cNvPr>
        <xdr:cNvSpPr/>
      </xdr:nvSpPr>
      <xdr:spPr>
        <a:xfrm>
          <a:off x="6868160" y="1095375"/>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accent5">
                  <a:lumMod val="50000"/>
                </a:schemeClr>
              </a:solidFill>
            </a:rPr>
            <a:t>Highest Score</a:t>
          </a:r>
        </a:p>
        <a:p>
          <a:pPr algn="ctr"/>
          <a:endParaRPr lang="en-US" sz="1800" b="1">
            <a:solidFill>
              <a:schemeClr val="accent5">
                <a:lumMod val="50000"/>
              </a:schemeClr>
            </a:solidFill>
          </a:endParaRPr>
        </a:p>
      </xdr:txBody>
    </xdr:sp>
    <xdr:clientData/>
  </xdr:twoCellAnchor>
  <xdr:twoCellAnchor>
    <xdr:from>
      <xdr:col>20</xdr:col>
      <xdr:colOff>381635</xdr:colOff>
      <xdr:row>7</xdr:row>
      <xdr:rowOff>50800</xdr:rowOff>
    </xdr:from>
    <xdr:to>
      <xdr:col>23</xdr:col>
      <xdr:colOff>532835</xdr:colOff>
      <xdr:row>13</xdr:row>
      <xdr:rowOff>4600</xdr:rowOff>
    </xdr:to>
    <xdr:sp macro="" textlink="">
      <xdr:nvSpPr>
        <xdr:cNvPr id="9" name="Rounded Rectangle 8">
          <a:extLst>
            <a:ext uri="{FF2B5EF4-FFF2-40B4-BE49-F238E27FC236}">
              <a16:creationId xmlns:a16="http://schemas.microsoft.com/office/drawing/2014/main" id="{00000000-0008-0000-0700-000009000000}"/>
            </a:ext>
          </a:extLst>
        </xdr:cNvPr>
        <xdr:cNvSpPr/>
      </xdr:nvSpPr>
      <xdr:spPr>
        <a:xfrm>
          <a:off x="12573635" y="1079500"/>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accent5">
                  <a:lumMod val="50000"/>
                </a:schemeClr>
              </a:solidFill>
              <a:sym typeface="+mn-ea"/>
            </a:rPr>
            <a:t>Lowest Score</a:t>
          </a:r>
          <a:endParaRPr lang="en-US" sz="1800" b="1">
            <a:solidFill>
              <a:schemeClr val="accent5">
                <a:lumMod val="50000"/>
              </a:schemeClr>
            </a:solidFill>
          </a:endParaRPr>
        </a:p>
        <a:p>
          <a:pPr algn="ctr"/>
          <a:endParaRPr lang="en-US" sz="1800" b="1">
            <a:solidFill>
              <a:schemeClr val="accent5">
                <a:lumMod val="50000"/>
              </a:schemeClr>
            </a:solidFill>
          </a:endParaRPr>
        </a:p>
      </xdr:txBody>
    </xdr:sp>
    <xdr:clientData/>
  </xdr:twoCellAnchor>
  <xdr:twoCellAnchor>
    <xdr:from>
      <xdr:col>30</xdr:col>
      <xdr:colOff>54610</xdr:colOff>
      <xdr:row>7</xdr:row>
      <xdr:rowOff>22225</xdr:rowOff>
    </xdr:from>
    <xdr:to>
      <xdr:col>33</xdr:col>
      <xdr:colOff>205810</xdr:colOff>
      <xdr:row>12</xdr:row>
      <xdr:rowOff>115725</xdr:rowOff>
    </xdr:to>
    <xdr:sp macro="" textlink="">
      <xdr:nvSpPr>
        <xdr:cNvPr id="12" name="Rounded Rectangle 11">
          <a:extLst>
            <a:ext uri="{FF2B5EF4-FFF2-40B4-BE49-F238E27FC236}">
              <a16:creationId xmlns:a16="http://schemas.microsoft.com/office/drawing/2014/main" id="{00000000-0008-0000-0700-00000C000000}"/>
            </a:ext>
          </a:extLst>
        </xdr:cNvPr>
        <xdr:cNvSpPr/>
      </xdr:nvSpPr>
      <xdr:spPr>
        <a:xfrm>
          <a:off x="18342610" y="1050925"/>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accent5">
                  <a:lumMod val="50000"/>
                </a:schemeClr>
              </a:solidFill>
              <a:sym typeface="+mn-ea"/>
            </a:rPr>
            <a:t>Avg Wickets</a:t>
          </a:r>
          <a:endParaRPr lang="en-US" sz="1800" b="1">
            <a:solidFill>
              <a:schemeClr val="accent5">
                <a:lumMod val="50000"/>
              </a:schemeClr>
            </a:solidFill>
          </a:endParaRPr>
        </a:p>
        <a:p>
          <a:pPr algn="ctr"/>
          <a:endParaRPr lang="en-US" sz="1800" b="1">
            <a:solidFill>
              <a:schemeClr val="accent5">
                <a:lumMod val="50000"/>
              </a:schemeClr>
            </a:solidFill>
          </a:endParaRPr>
        </a:p>
      </xdr:txBody>
    </xdr:sp>
    <xdr:clientData/>
  </xdr:twoCellAnchor>
  <xdr:twoCellAnchor>
    <xdr:from>
      <xdr:col>34</xdr:col>
      <xdr:colOff>600710</xdr:colOff>
      <xdr:row>7</xdr:row>
      <xdr:rowOff>53975</xdr:rowOff>
    </xdr:from>
    <xdr:to>
      <xdr:col>38</xdr:col>
      <xdr:colOff>142310</xdr:colOff>
      <xdr:row>13</xdr:row>
      <xdr:rowOff>7775</xdr:rowOff>
    </xdr:to>
    <xdr:sp macro="" textlink="">
      <xdr:nvSpPr>
        <xdr:cNvPr id="13" name="Rounded Rectangle 12">
          <a:extLst>
            <a:ext uri="{FF2B5EF4-FFF2-40B4-BE49-F238E27FC236}">
              <a16:creationId xmlns:a16="http://schemas.microsoft.com/office/drawing/2014/main" id="{00000000-0008-0000-0700-00000D000000}"/>
            </a:ext>
          </a:extLst>
        </xdr:cNvPr>
        <xdr:cNvSpPr/>
      </xdr:nvSpPr>
      <xdr:spPr>
        <a:xfrm>
          <a:off x="21327110" y="1082675"/>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accent5">
                  <a:lumMod val="50000"/>
                </a:schemeClr>
              </a:solidFill>
              <a:sym typeface="+mn-ea"/>
            </a:rPr>
            <a:t>Toss Win %</a:t>
          </a:r>
          <a:endParaRPr lang="en-US" sz="1800" b="1">
            <a:solidFill>
              <a:schemeClr val="accent5">
                <a:lumMod val="50000"/>
              </a:schemeClr>
            </a:solidFill>
          </a:endParaRPr>
        </a:p>
        <a:p>
          <a:pPr algn="ctr"/>
          <a:endParaRPr lang="en-US" sz="1800" b="1">
            <a:solidFill>
              <a:schemeClr val="accent5">
                <a:lumMod val="50000"/>
              </a:schemeClr>
            </a:solidFill>
          </a:endParaRPr>
        </a:p>
      </xdr:txBody>
    </xdr:sp>
    <xdr:clientData/>
  </xdr:twoCellAnchor>
  <xdr:twoCellAnchor>
    <xdr:from>
      <xdr:col>4</xdr:col>
      <xdr:colOff>534987</xdr:colOff>
      <xdr:row>4</xdr:row>
      <xdr:rowOff>49212</xdr:rowOff>
    </xdr:from>
    <xdr:to>
      <xdr:col>5</xdr:col>
      <xdr:colOff>77787</xdr:colOff>
      <xdr:row>4</xdr:row>
      <xdr:rowOff>134937</xdr:rowOff>
    </xdr:to>
    <xdr:sp macro="" textlink="">
      <xdr:nvSpPr>
        <xdr:cNvPr id="28" name="Text Box 27">
          <a:extLst>
            <a:ext uri="{FF2B5EF4-FFF2-40B4-BE49-F238E27FC236}">
              <a16:creationId xmlns:a16="http://schemas.microsoft.com/office/drawing/2014/main" id="{00000000-0008-0000-0700-00001C000000}"/>
            </a:ext>
          </a:extLst>
        </xdr:cNvPr>
        <xdr:cNvSpPr txBox="1"/>
      </xdr:nvSpPr>
      <xdr:spPr>
        <a:xfrm rot="2880000">
          <a:off x="3006090" y="634365"/>
          <a:ext cx="85725" cy="1524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sz="1100"/>
        </a:p>
      </xdr:txBody>
    </xdr:sp>
    <xdr:clientData/>
  </xdr:twoCellAnchor>
  <xdr:twoCellAnchor>
    <xdr:from>
      <xdr:col>4</xdr:col>
      <xdr:colOff>299358</xdr:colOff>
      <xdr:row>14</xdr:row>
      <xdr:rowOff>63225</xdr:rowOff>
    </xdr:from>
    <xdr:to>
      <xdr:col>13</xdr:col>
      <xdr:colOff>471715</xdr:colOff>
      <xdr:row>32</xdr:row>
      <xdr:rowOff>149677</xdr:rowOff>
    </xdr:to>
    <xdr:graphicFrame macro="">
      <xdr:nvGraphicFramePr>
        <xdr:cNvPr id="29" name="Chart 28" descr="7b0a202020202263686172745265734964223a20223230323834303639220a7d0a">
          <a:extLst>
            <a:ext uri="{FF2B5EF4-FFF2-40B4-BE49-F238E27FC236}">
              <a16:creationId xmlns:a16="http://schemas.microsoft.com/office/drawing/2014/main" id="{00000000-0008-0000-07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299356</xdr:colOff>
      <xdr:row>32</xdr:row>
      <xdr:rowOff>146502</xdr:rowOff>
    </xdr:from>
    <xdr:to>
      <xdr:col>13</xdr:col>
      <xdr:colOff>496660</xdr:colOff>
      <xdr:row>35</xdr:row>
      <xdr:rowOff>67127</xdr:rowOff>
    </xdr:to>
    <xdr:sp macro="" textlink="">
      <xdr:nvSpPr>
        <xdr:cNvPr id="30" name="Rectangle 29">
          <a:extLst>
            <a:ext uri="{FF2B5EF4-FFF2-40B4-BE49-F238E27FC236}">
              <a16:creationId xmlns:a16="http://schemas.microsoft.com/office/drawing/2014/main" id="{00000000-0008-0000-0700-00001E000000}"/>
            </a:ext>
          </a:extLst>
        </xdr:cNvPr>
        <xdr:cNvSpPr/>
      </xdr:nvSpPr>
      <xdr:spPr>
        <a:xfrm>
          <a:off x="2748642" y="4977038"/>
          <a:ext cx="5708197" cy="369660"/>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2000" b="1">
              <a:solidFill>
                <a:schemeClr val="bg2"/>
              </a:solidFill>
            </a:rPr>
            <a:t>Total Runs Scored as per Teams</a:t>
          </a:r>
        </a:p>
      </xdr:txBody>
    </xdr:sp>
    <xdr:clientData/>
  </xdr:twoCellAnchor>
  <xdr:twoCellAnchor>
    <xdr:from>
      <xdr:col>15</xdr:col>
      <xdr:colOff>81643</xdr:colOff>
      <xdr:row>14</xdr:row>
      <xdr:rowOff>66675</xdr:rowOff>
    </xdr:from>
    <xdr:to>
      <xdr:col>25</xdr:col>
      <xdr:colOff>272143</xdr:colOff>
      <xdr:row>32</xdr:row>
      <xdr:rowOff>114300</xdr:rowOff>
    </xdr:to>
    <xdr:graphicFrame macro="">
      <xdr:nvGraphicFramePr>
        <xdr:cNvPr id="31" name="Chart 30" descr="7b0a202020202263686172745265734964223a20223230343735393537220a7d0a">
          <a:extLst>
            <a:ext uri="{FF2B5EF4-FFF2-40B4-BE49-F238E27FC236}">
              <a16:creationId xmlns:a16="http://schemas.microsoft.com/office/drawing/2014/main" id="{00000000-0008-0000-07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54429</xdr:colOff>
      <xdr:row>32</xdr:row>
      <xdr:rowOff>101600</xdr:rowOff>
    </xdr:from>
    <xdr:to>
      <xdr:col>25</xdr:col>
      <xdr:colOff>299357</xdr:colOff>
      <xdr:row>35</xdr:row>
      <xdr:rowOff>12699</xdr:rowOff>
    </xdr:to>
    <xdr:sp macro="" textlink="">
      <xdr:nvSpPr>
        <xdr:cNvPr id="33" name="Rectangle 32">
          <a:extLst>
            <a:ext uri="{FF2B5EF4-FFF2-40B4-BE49-F238E27FC236}">
              <a16:creationId xmlns:a16="http://schemas.microsoft.com/office/drawing/2014/main" id="{00000000-0008-0000-0700-000021000000}"/>
            </a:ext>
          </a:extLst>
        </xdr:cNvPr>
        <xdr:cNvSpPr/>
      </xdr:nvSpPr>
      <xdr:spPr>
        <a:xfrm>
          <a:off x="9239250" y="4932136"/>
          <a:ext cx="6368143" cy="360134"/>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000" b="1">
              <a:solidFill>
                <a:schemeClr val="bg2"/>
              </a:solidFill>
            </a:rPr>
            <a:t>Total Matches Won as per Teams</a:t>
          </a:r>
        </a:p>
      </xdr:txBody>
    </xdr:sp>
    <xdr:clientData/>
  </xdr:twoCellAnchor>
  <xdr:twoCellAnchor>
    <xdr:from>
      <xdr:col>26</xdr:col>
      <xdr:colOff>522515</xdr:colOff>
      <xdr:row>32</xdr:row>
      <xdr:rowOff>84364</xdr:rowOff>
    </xdr:from>
    <xdr:to>
      <xdr:col>36</xdr:col>
      <xdr:colOff>587920</xdr:colOff>
      <xdr:row>34</xdr:row>
      <xdr:rowOff>103414</xdr:rowOff>
    </xdr:to>
    <xdr:sp macro="" textlink="">
      <xdr:nvSpPr>
        <xdr:cNvPr id="35" name="Rectangle 34">
          <a:extLst>
            <a:ext uri="{FF2B5EF4-FFF2-40B4-BE49-F238E27FC236}">
              <a16:creationId xmlns:a16="http://schemas.microsoft.com/office/drawing/2014/main" id="{00000000-0008-0000-0700-000023000000}"/>
            </a:ext>
          </a:extLst>
        </xdr:cNvPr>
        <xdr:cNvSpPr/>
      </xdr:nvSpPr>
      <xdr:spPr>
        <a:xfrm>
          <a:off x="16442872" y="4914900"/>
          <a:ext cx="6188619" cy="318407"/>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000" b="1">
              <a:solidFill>
                <a:schemeClr val="bg2"/>
              </a:solidFill>
            </a:rPr>
            <a:t>Average</a:t>
          </a:r>
          <a:r>
            <a:rPr lang="en-US" sz="2000" b="1" baseline="0">
              <a:solidFill>
                <a:schemeClr val="bg2"/>
              </a:solidFill>
            </a:rPr>
            <a:t> Score As per Venue</a:t>
          </a:r>
          <a:endParaRPr lang="en-US" sz="2000" b="1">
            <a:solidFill>
              <a:schemeClr val="bg2"/>
            </a:solidFill>
          </a:endParaRPr>
        </a:p>
      </xdr:txBody>
    </xdr:sp>
    <xdr:clientData/>
  </xdr:twoCellAnchor>
  <xdr:oneCellAnchor>
    <xdr:from>
      <xdr:col>5</xdr:col>
      <xdr:colOff>47625</xdr:colOff>
      <xdr:row>4</xdr:row>
      <xdr:rowOff>104775</xdr:rowOff>
    </xdr:from>
    <xdr:ext cx="309880" cy="273685"/>
    <xdr:sp macro="" textlink="">
      <xdr:nvSpPr>
        <xdr:cNvPr id="37" name="Text Box 36">
          <a:extLst>
            <a:ext uri="{FF2B5EF4-FFF2-40B4-BE49-F238E27FC236}">
              <a16:creationId xmlns:a16="http://schemas.microsoft.com/office/drawing/2014/main" id="{00000000-0008-0000-0700-000025000000}"/>
            </a:ext>
          </a:extLst>
        </xdr:cNvPr>
        <xdr:cNvSpPr txBox="1"/>
      </xdr:nvSpPr>
      <xdr:spPr>
        <a:xfrm>
          <a:off x="3095625" y="723900"/>
          <a:ext cx="309880" cy="27368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endParaRPr lang="en-US" sz="1100"/>
        </a:p>
      </xdr:txBody>
    </xdr:sp>
    <xdr:clientData/>
  </xdr:oneCellAnchor>
  <xdr:twoCellAnchor>
    <xdr:from>
      <xdr:col>15</xdr:col>
      <xdr:colOff>119471</xdr:colOff>
      <xdr:row>60</xdr:row>
      <xdr:rowOff>34926</xdr:rowOff>
    </xdr:from>
    <xdr:to>
      <xdr:col>25</xdr:col>
      <xdr:colOff>340178</xdr:colOff>
      <xdr:row>62</xdr:row>
      <xdr:rowOff>81642</xdr:rowOff>
    </xdr:to>
    <xdr:sp macro="" textlink="">
      <xdr:nvSpPr>
        <xdr:cNvPr id="38" name="Rectangle 37">
          <a:extLst>
            <a:ext uri="{FF2B5EF4-FFF2-40B4-BE49-F238E27FC236}">
              <a16:creationId xmlns:a16="http://schemas.microsoft.com/office/drawing/2014/main" id="{00000000-0008-0000-0700-000026000000}"/>
            </a:ext>
          </a:extLst>
        </xdr:cNvPr>
        <xdr:cNvSpPr/>
      </xdr:nvSpPr>
      <xdr:spPr>
        <a:xfrm>
          <a:off x="9304292" y="9097283"/>
          <a:ext cx="6343922" cy="346073"/>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000" b="1">
              <a:solidFill>
                <a:schemeClr val="bg2"/>
              </a:solidFill>
            </a:rPr>
            <a:t>Total boundaries Team wise</a:t>
          </a:r>
        </a:p>
      </xdr:txBody>
    </xdr:sp>
    <xdr:clientData/>
  </xdr:twoCellAnchor>
  <xdr:twoCellAnchor>
    <xdr:from>
      <xdr:col>26</xdr:col>
      <xdr:colOff>516165</xdr:colOff>
      <xdr:row>14</xdr:row>
      <xdr:rowOff>29480</xdr:rowOff>
    </xdr:from>
    <xdr:to>
      <xdr:col>36</xdr:col>
      <xdr:colOff>573315</xdr:colOff>
      <xdr:row>32</xdr:row>
      <xdr:rowOff>65313</xdr:rowOff>
    </xdr:to>
    <xdr:graphicFrame macro="">
      <xdr:nvGraphicFramePr>
        <xdr:cNvPr id="4" name="Chart 3">
          <a:extLst>
            <a:ext uri="{FF2B5EF4-FFF2-40B4-BE49-F238E27FC236}">
              <a16:creationId xmlns:a16="http://schemas.microsoft.com/office/drawing/2014/main" id="{8B74E066-703B-4D09-A35D-FE6B9AFAE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138792</xdr:colOff>
      <xdr:row>36</xdr:row>
      <xdr:rowOff>127907</xdr:rowOff>
    </xdr:from>
    <xdr:to>
      <xdr:col>25</xdr:col>
      <xdr:colOff>312964</xdr:colOff>
      <xdr:row>60</xdr:row>
      <xdr:rowOff>26307</xdr:rowOff>
    </xdr:to>
    <xdr:graphicFrame macro="">
      <xdr:nvGraphicFramePr>
        <xdr:cNvPr id="14" name="Chart 13">
          <a:extLst>
            <a:ext uri="{FF2B5EF4-FFF2-40B4-BE49-F238E27FC236}">
              <a16:creationId xmlns:a16="http://schemas.microsoft.com/office/drawing/2014/main" id="{2ECFD4AC-6E1A-489A-A336-52035EAD1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326572</xdr:colOff>
      <xdr:row>60</xdr:row>
      <xdr:rowOff>27215</xdr:rowOff>
    </xdr:from>
    <xdr:to>
      <xdr:col>13</xdr:col>
      <xdr:colOff>517071</xdr:colOff>
      <xdr:row>62</xdr:row>
      <xdr:rowOff>95250</xdr:rowOff>
    </xdr:to>
    <xdr:sp macro="" textlink="">
      <xdr:nvSpPr>
        <xdr:cNvPr id="15" name="Rectangle 14">
          <a:extLst>
            <a:ext uri="{FF2B5EF4-FFF2-40B4-BE49-F238E27FC236}">
              <a16:creationId xmlns:a16="http://schemas.microsoft.com/office/drawing/2014/main" id="{B2BCC8A9-4C33-4674-81B5-B5C56A0A7C99}"/>
            </a:ext>
          </a:extLst>
        </xdr:cNvPr>
        <xdr:cNvSpPr/>
      </xdr:nvSpPr>
      <xdr:spPr>
        <a:xfrm>
          <a:off x="2775858" y="9089572"/>
          <a:ext cx="5701392" cy="367392"/>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IN" sz="2000" b="1"/>
            <a:t>Win %: Batting First vs Fielding First</a:t>
          </a:r>
          <a:endParaRPr lang="en-US" sz="2000" b="1">
            <a:solidFill>
              <a:schemeClr val="bg2"/>
            </a:solidFill>
          </a:endParaRPr>
        </a:p>
      </xdr:txBody>
    </xdr:sp>
    <xdr:clientData/>
  </xdr:twoCellAnchor>
  <xdr:twoCellAnchor>
    <xdr:from>
      <xdr:col>4</xdr:col>
      <xdr:colOff>353787</xdr:colOff>
      <xdr:row>37</xdr:row>
      <xdr:rowOff>61233</xdr:rowOff>
    </xdr:from>
    <xdr:to>
      <xdr:col>13</xdr:col>
      <xdr:colOff>517072</xdr:colOff>
      <xdr:row>60</xdr:row>
      <xdr:rowOff>13608</xdr:rowOff>
    </xdr:to>
    <xdr:graphicFrame macro="">
      <xdr:nvGraphicFramePr>
        <xdr:cNvPr id="17" name="Chart 16">
          <a:extLst>
            <a:ext uri="{FF2B5EF4-FFF2-40B4-BE49-F238E27FC236}">
              <a16:creationId xmlns:a16="http://schemas.microsoft.com/office/drawing/2014/main" id="{789B6005-AC1B-4F12-8978-D77B3E0AD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27215</xdr:colOff>
      <xdr:row>60</xdr:row>
      <xdr:rowOff>82548</xdr:rowOff>
    </xdr:from>
    <xdr:to>
      <xdr:col>37</xdr:col>
      <xdr:colOff>27215</xdr:colOff>
      <xdr:row>62</xdr:row>
      <xdr:rowOff>95250</xdr:rowOff>
    </xdr:to>
    <xdr:sp macro="" textlink="">
      <xdr:nvSpPr>
        <xdr:cNvPr id="19" name="Rectangle 18">
          <a:extLst>
            <a:ext uri="{FF2B5EF4-FFF2-40B4-BE49-F238E27FC236}">
              <a16:creationId xmlns:a16="http://schemas.microsoft.com/office/drawing/2014/main" id="{77881694-3A82-4E3D-A7DC-AC52EC219086}"/>
            </a:ext>
          </a:extLst>
        </xdr:cNvPr>
        <xdr:cNvSpPr/>
      </xdr:nvSpPr>
      <xdr:spPr>
        <a:xfrm>
          <a:off x="16559894" y="9144905"/>
          <a:ext cx="6123214" cy="312059"/>
        </a:xfrm>
        <a:prstGeom prst="rect">
          <a:avLst/>
        </a:prstGeom>
        <a:solidFill>
          <a:schemeClr val="accent5">
            <a:lumMod val="7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000" b="1">
              <a:solidFill>
                <a:schemeClr val="bg2"/>
              </a:solidFill>
            </a:rPr>
            <a:t>Win Loss Comparison</a:t>
          </a:r>
        </a:p>
      </xdr:txBody>
    </xdr:sp>
    <xdr:clientData/>
  </xdr:twoCellAnchor>
  <xdr:twoCellAnchor>
    <xdr:from>
      <xdr:col>2</xdr:col>
      <xdr:colOff>31778</xdr:colOff>
      <xdr:row>10</xdr:row>
      <xdr:rowOff>68099</xdr:rowOff>
    </xdr:from>
    <xdr:to>
      <xdr:col>5</xdr:col>
      <xdr:colOff>174814</xdr:colOff>
      <xdr:row>12</xdr:row>
      <xdr:rowOff>128742</xdr:rowOff>
    </xdr:to>
    <xdr:sp macro="" textlink="Statistics!G8">
      <xdr:nvSpPr>
        <xdr:cNvPr id="20" name="TextBox 19">
          <a:extLst>
            <a:ext uri="{FF2B5EF4-FFF2-40B4-BE49-F238E27FC236}">
              <a16:creationId xmlns:a16="http://schemas.microsoft.com/office/drawing/2014/main" id="{8862D05D-D1F4-032A-37A6-7AD453B154A2}"/>
            </a:ext>
          </a:extLst>
        </xdr:cNvPr>
        <xdr:cNvSpPr txBox="1"/>
      </xdr:nvSpPr>
      <xdr:spPr>
        <a:xfrm>
          <a:off x="1256421" y="1605706"/>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E346D7-E95D-4323-B648-88DACBC31618}" type="TxLink">
            <a:rPr lang="en-US" sz="2400" b="1" i="0" u="none" strike="noStrike">
              <a:solidFill>
                <a:schemeClr val="accent5">
                  <a:lumMod val="50000"/>
                </a:schemeClr>
              </a:solidFill>
              <a:latin typeface="Calibri"/>
              <a:ea typeface="Calibri"/>
              <a:cs typeface="Calibri"/>
            </a:rPr>
            <a:pPr algn="ctr"/>
            <a:t>48</a:t>
          </a:fld>
          <a:endParaRPr lang="en-IN" sz="2400" b="1">
            <a:solidFill>
              <a:schemeClr val="accent5">
                <a:lumMod val="50000"/>
              </a:schemeClr>
            </a:solidFill>
          </a:endParaRPr>
        </a:p>
      </xdr:txBody>
    </xdr:sp>
    <xdr:clientData/>
  </xdr:twoCellAnchor>
  <xdr:twoCellAnchor>
    <xdr:from>
      <xdr:col>6</xdr:col>
      <xdr:colOff>495935</xdr:colOff>
      <xdr:row>10</xdr:row>
      <xdr:rowOff>76198</xdr:rowOff>
    </xdr:from>
    <xdr:to>
      <xdr:col>10</xdr:col>
      <xdr:colOff>26650</xdr:colOff>
      <xdr:row>12</xdr:row>
      <xdr:rowOff>136841</xdr:rowOff>
    </xdr:to>
    <xdr:sp macro="" textlink="Statistics!E12">
      <xdr:nvSpPr>
        <xdr:cNvPr id="23" name="TextBox 22">
          <a:extLst>
            <a:ext uri="{FF2B5EF4-FFF2-40B4-BE49-F238E27FC236}">
              <a16:creationId xmlns:a16="http://schemas.microsoft.com/office/drawing/2014/main" id="{1C0B5D4E-8F60-4D40-85E4-939992180EF7}"/>
            </a:ext>
          </a:extLst>
        </xdr:cNvPr>
        <xdr:cNvSpPr txBox="1"/>
      </xdr:nvSpPr>
      <xdr:spPr>
        <a:xfrm>
          <a:off x="4169864" y="1613805"/>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9B4AD8-BC31-47A3-B314-6E489F5ACE4F}" type="TxLink">
            <a:rPr lang="en-US" sz="2400" b="1" i="0" u="none" strike="noStrike">
              <a:solidFill>
                <a:schemeClr val="accent5">
                  <a:lumMod val="50000"/>
                </a:schemeClr>
              </a:solidFill>
              <a:latin typeface="Calibri"/>
              <a:ea typeface="Calibri"/>
              <a:cs typeface="Calibri"/>
            </a:rPr>
            <a:pPr algn="ctr"/>
            <a:t>24639</a:t>
          </a:fld>
          <a:endParaRPr lang="en-IN" sz="2400" b="1">
            <a:solidFill>
              <a:schemeClr val="accent5">
                <a:lumMod val="50000"/>
              </a:schemeClr>
            </a:solidFill>
          </a:endParaRPr>
        </a:p>
      </xdr:txBody>
    </xdr:sp>
    <xdr:clientData/>
  </xdr:twoCellAnchor>
  <xdr:twoCellAnchor>
    <xdr:from>
      <xdr:col>11</xdr:col>
      <xdr:colOff>177801</xdr:colOff>
      <xdr:row>10</xdr:row>
      <xdr:rowOff>76198</xdr:rowOff>
    </xdr:from>
    <xdr:to>
      <xdr:col>14</xdr:col>
      <xdr:colOff>320837</xdr:colOff>
      <xdr:row>12</xdr:row>
      <xdr:rowOff>136841</xdr:rowOff>
    </xdr:to>
    <xdr:sp macro="" textlink="Statistics!E17">
      <xdr:nvSpPr>
        <xdr:cNvPr id="24" name="TextBox 23">
          <a:extLst>
            <a:ext uri="{FF2B5EF4-FFF2-40B4-BE49-F238E27FC236}">
              <a16:creationId xmlns:a16="http://schemas.microsoft.com/office/drawing/2014/main" id="{0E72AEA5-8A5F-494B-9973-FA2853E4224E}"/>
            </a:ext>
          </a:extLst>
        </xdr:cNvPr>
        <xdr:cNvSpPr txBox="1"/>
      </xdr:nvSpPr>
      <xdr:spPr>
        <a:xfrm>
          <a:off x="6913337" y="1613805"/>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7D0EB2-58F7-4613-AEFE-1993EFAF6CDE}" type="TxLink">
            <a:rPr lang="en-US" sz="2400" b="1" i="0" u="none" strike="noStrike">
              <a:solidFill>
                <a:schemeClr val="accent5">
                  <a:lumMod val="50000"/>
                </a:schemeClr>
              </a:solidFill>
              <a:latin typeface="Calibri"/>
              <a:ea typeface="Calibri"/>
              <a:cs typeface="Calibri"/>
            </a:rPr>
            <a:pPr algn="ctr"/>
            <a:t>428</a:t>
          </a:fld>
          <a:endParaRPr lang="en-IN" sz="2400" b="1">
            <a:solidFill>
              <a:schemeClr val="accent5">
                <a:lumMod val="50000"/>
              </a:schemeClr>
            </a:solidFill>
          </a:endParaRPr>
        </a:p>
      </xdr:txBody>
    </xdr:sp>
    <xdr:clientData/>
  </xdr:twoCellAnchor>
  <xdr:twoCellAnchor>
    <xdr:from>
      <xdr:col>20</xdr:col>
      <xdr:colOff>381636</xdr:colOff>
      <xdr:row>10</xdr:row>
      <xdr:rowOff>76198</xdr:rowOff>
    </xdr:from>
    <xdr:to>
      <xdr:col>23</xdr:col>
      <xdr:colOff>524672</xdr:colOff>
      <xdr:row>12</xdr:row>
      <xdr:rowOff>136841</xdr:rowOff>
    </xdr:to>
    <xdr:sp macro="" textlink="Statistics!I12">
      <xdr:nvSpPr>
        <xdr:cNvPr id="25" name="TextBox 24">
          <a:extLst>
            <a:ext uri="{FF2B5EF4-FFF2-40B4-BE49-F238E27FC236}">
              <a16:creationId xmlns:a16="http://schemas.microsoft.com/office/drawing/2014/main" id="{46748580-1ADE-4606-A5A0-088C1981DACA}"/>
            </a:ext>
          </a:extLst>
        </xdr:cNvPr>
        <xdr:cNvSpPr txBox="1"/>
      </xdr:nvSpPr>
      <xdr:spPr>
        <a:xfrm>
          <a:off x="12628065" y="1613805"/>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6149D6-74B1-4EE8-A717-9994E22606FA}" type="TxLink">
            <a:rPr lang="en-US" sz="2400" b="1" i="0" u="none" strike="noStrike">
              <a:solidFill>
                <a:schemeClr val="accent5">
                  <a:lumMod val="50000"/>
                </a:schemeClr>
              </a:solidFill>
              <a:latin typeface="Calibri"/>
              <a:ea typeface="Calibri"/>
              <a:cs typeface="Calibri"/>
            </a:rPr>
            <a:pPr algn="ctr"/>
            <a:t>55</a:t>
          </a:fld>
          <a:endParaRPr lang="en-IN" sz="2400" b="1">
            <a:solidFill>
              <a:schemeClr val="accent5">
                <a:lumMod val="50000"/>
              </a:schemeClr>
            </a:solidFill>
          </a:endParaRPr>
        </a:p>
      </xdr:txBody>
    </xdr:sp>
    <xdr:clientData/>
  </xdr:twoCellAnchor>
  <xdr:twoCellAnchor>
    <xdr:from>
      <xdr:col>30</xdr:col>
      <xdr:colOff>54610</xdr:colOff>
      <xdr:row>10</xdr:row>
      <xdr:rowOff>25400</xdr:rowOff>
    </xdr:from>
    <xdr:to>
      <xdr:col>33</xdr:col>
      <xdr:colOff>197646</xdr:colOff>
      <xdr:row>12</xdr:row>
      <xdr:rowOff>86043</xdr:rowOff>
    </xdr:to>
    <xdr:sp macro="" textlink="Statistics!G17">
      <xdr:nvSpPr>
        <xdr:cNvPr id="32" name="TextBox 31">
          <a:extLst>
            <a:ext uri="{FF2B5EF4-FFF2-40B4-BE49-F238E27FC236}">
              <a16:creationId xmlns:a16="http://schemas.microsoft.com/office/drawing/2014/main" id="{45A9B8E1-B281-4ADC-9657-0381E0A3AC06}"/>
            </a:ext>
          </a:extLst>
        </xdr:cNvPr>
        <xdr:cNvSpPr txBox="1"/>
      </xdr:nvSpPr>
      <xdr:spPr>
        <a:xfrm>
          <a:off x="18424253" y="1563007"/>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AD79E9-0137-4B90-9CD1-577318C31A64}" type="TxLink">
            <a:rPr lang="en-US" sz="2400" b="1" i="0" u="none" strike="noStrike">
              <a:solidFill>
                <a:schemeClr val="accent5">
                  <a:lumMod val="50000"/>
                </a:schemeClr>
              </a:solidFill>
              <a:latin typeface="Calibri"/>
              <a:ea typeface="Calibri"/>
              <a:cs typeface="Calibri"/>
            </a:rPr>
            <a:pPr algn="ctr"/>
            <a:t>7.60 </a:t>
          </a:fld>
          <a:endParaRPr lang="en-IN" sz="2400" b="1">
            <a:solidFill>
              <a:schemeClr val="accent5">
                <a:lumMod val="50000"/>
              </a:schemeClr>
            </a:solidFill>
          </a:endParaRPr>
        </a:p>
      </xdr:txBody>
    </xdr:sp>
    <xdr:clientData/>
  </xdr:twoCellAnchor>
  <xdr:twoCellAnchor>
    <xdr:from>
      <xdr:col>35</xdr:col>
      <xdr:colOff>1</xdr:colOff>
      <xdr:row>10</xdr:row>
      <xdr:rowOff>76198</xdr:rowOff>
    </xdr:from>
    <xdr:to>
      <xdr:col>38</xdr:col>
      <xdr:colOff>143037</xdr:colOff>
      <xdr:row>12</xdr:row>
      <xdr:rowOff>136841</xdr:rowOff>
    </xdr:to>
    <xdr:sp macro="" textlink="Statistics!G21">
      <xdr:nvSpPr>
        <xdr:cNvPr id="39" name="TextBox 38">
          <a:extLst>
            <a:ext uri="{FF2B5EF4-FFF2-40B4-BE49-F238E27FC236}">
              <a16:creationId xmlns:a16="http://schemas.microsoft.com/office/drawing/2014/main" id="{0EC5736E-A1B4-4555-A535-58F6BCAD7A08}"/>
            </a:ext>
          </a:extLst>
        </xdr:cNvPr>
        <xdr:cNvSpPr txBox="1"/>
      </xdr:nvSpPr>
      <xdr:spPr>
        <a:xfrm>
          <a:off x="21431251" y="1613805"/>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0DA40E-40D1-4B28-BB3C-C4B9E15DB5A6}" type="TxLink">
            <a:rPr lang="en-US" sz="2400" b="1" i="0" u="none" strike="noStrike">
              <a:solidFill>
                <a:schemeClr val="accent5">
                  <a:lumMod val="50000"/>
                </a:schemeClr>
              </a:solidFill>
              <a:latin typeface="Calibri"/>
              <a:ea typeface="Calibri"/>
              <a:cs typeface="Calibri"/>
            </a:rPr>
            <a:pPr algn="ctr"/>
            <a:t>39.58%</a:t>
          </a:fld>
          <a:endParaRPr lang="en-IN" sz="2400" b="1">
            <a:solidFill>
              <a:schemeClr val="accent5">
                <a:lumMod val="50000"/>
              </a:schemeClr>
            </a:solidFill>
          </a:endParaRPr>
        </a:p>
      </xdr:txBody>
    </xdr:sp>
    <xdr:clientData/>
  </xdr:twoCellAnchor>
  <xdr:twoCellAnchor editAs="oneCell">
    <xdr:from>
      <xdr:col>0</xdr:col>
      <xdr:colOff>285749</xdr:colOff>
      <xdr:row>14</xdr:row>
      <xdr:rowOff>95250</xdr:rowOff>
    </xdr:from>
    <xdr:to>
      <xdr:col>3</xdr:col>
      <xdr:colOff>312964</xdr:colOff>
      <xdr:row>39</xdr:row>
      <xdr:rowOff>149678</xdr:rowOff>
    </xdr:to>
    <mc:AlternateContent xmlns:mc="http://schemas.openxmlformats.org/markup-compatibility/2006">
      <mc:Choice xmlns:a14="http://schemas.microsoft.com/office/drawing/2010/main" Requires="a14">
        <xdr:graphicFrame macro="">
          <xdr:nvGraphicFramePr>
            <xdr:cNvPr id="40" name="Team">
              <a:extLst>
                <a:ext uri="{FF2B5EF4-FFF2-40B4-BE49-F238E27FC236}">
                  <a16:creationId xmlns:a16="http://schemas.microsoft.com/office/drawing/2014/main" id="{A69026BB-2505-125D-34F9-166C8B1E2551}"/>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285749" y="2231571"/>
              <a:ext cx="1864179" cy="3796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29027</xdr:colOff>
      <xdr:row>37</xdr:row>
      <xdr:rowOff>29028</xdr:rowOff>
    </xdr:from>
    <xdr:to>
      <xdr:col>37</xdr:col>
      <xdr:colOff>13607</xdr:colOff>
      <xdr:row>60</xdr:row>
      <xdr:rowOff>62593</xdr:rowOff>
    </xdr:to>
    <xdr:graphicFrame macro="">
      <xdr:nvGraphicFramePr>
        <xdr:cNvPr id="18" name="Chart 17">
          <a:extLst>
            <a:ext uri="{FF2B5EF4-FFF2-40B4-BE49-F238E27FC236}">
              <a16:creationId xmlns:a16="http://schemas.microsoft.com/office/drawing/2014/main" id="{AB84D211-AC30-417B-94DB-77C20D7CF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191135</xdr:colOff>
      <xdr:row>7</xdr:row>
      <xdr:rowOff>47625</xdr:rowOff>
    </xdr:from>
    <xdr:to>
      <xdr:col>28</xdr:col>
      <xdr:colOff>342335</xdr:colOff>
      <xdr:row>13</xdr:row>
      <xdr:rowOff>1425</xdr:rowOff>
    </xdr:to>
    <xdr:sp macro="" textlink="">
      <xdr:nvSpPr>
        <xdr:cNvPr id="11" name="Rounded Rectangle 10">
          <a:extLst>
            <a:ext uri="{FF2B5EF4-FFF2-40B4-BE49-F238E27FC236}">
              <a16:creationId xmlns:a16="http://schemas.microsoft.com/office/drawing/2014/main" id="{00000000-0008-0000-0700-00000B000000}"/>
            </a:ext>
          </a:extLst>
        </xdr:cNvPr>
        <xdr:cNvSpPr/>
      </xdr:nvSpPr>
      <xdr:spPr>
        <a:xfrm>
          <a:off x="15431135" y="1076325"/>
          <a:ext cx="1980000" cy="792000"/>
        </a:xfrm>
        <a:prstGeom prst="roundRect">
          <a:avLst/>
        </a:prstGeom>
        <a:solidFill>
          <a:schemeClr val="bg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a:solidFill>
                <a:schemeClr val="accent5">
                  <a:lumMod val="50000"/>
                </a:schemeClr>
              </a:solidFill>
              <a:sym typeface="+mn-ea"/>
            </a:rPr>
            <a:t>Total Wickets</a:t>
          </a:r>
          <a:endParaRPr lang="en-US" sz="1800" b="1">
            <a:solidFill>
              <a:schemeClr val="accent5">
                <a:lumMod val="50000"/>
              </a:schemeClr>
            </a:solidFill>
          </a:endParaRPr>
        </a:p>
        <a:p>
          <a:pPr algn="ctr"/>
          <a:endParaRPr lang="en-US" sz="1800" b="1">
            <a:solidFill>
              <a:schemeClr val="accent5">
                <a:lumMod val="50000"/>
              </a:schemeClr>
            </a:solidFill>
          </a:endParaRPr>
        </a:p>
      </xdr:txBody>
    </xdr:sp>
    <xdr:clientData/>
  </xdr:twoCellAnchor>
  <xdr:twoCellAnchor>
    <xdr:from>
      <xdr:col>25</xdr:col>
      <xdr:colOff>191135</xdr:colOff>
      <xdr:row>10</xdr:row>
      <xdr:rowOff>25400</xdr:rowOff>
    </xdr:from>
    <xdr:to>
      <xdr:col>28</xdr:col>
      <xdr:colOff>334171</xdr:colOff>
      <xdr:row>12</xdr:row>
      <xdr:rowOff>86043</xdr:rowOff>
    </xdr:to>
    <xdr:sp macro="" textlink="Statistics!G12">
      <xdr:nvSpPr>
        <xdr:cNvPr id="27" name="TextBox 26">
          <a:extLst>
            <a:ext uri="{FF2B5EF4-FFF2-40B4-BE49-F238E27FC236}">
              <a16:creationId xmlns:a16="http://schemas.microsoft.com/office/drawing/2014/main" id="{2599301E-15D2-4664-AC2B-E22FF8E8EFC1}"/>
            </a:ext>
          </a:extLst>
        </xdr:cNvPr>
        <xdr:cNvSpPr txBox="1"/>
      </xdr:nvSpPr>
      <xdr:spPr>
        <a:xfrm>
          <a:off x="15499171" y="1563007"/>
          <a:ext cx="19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08E2AC-8C9E-46E9-BB99-CA52619382F3}" type="TxLink">
            <a:rPr lang="en-US" sz="2400" b="1" i="0" u="none" strike="noStrike">
              <a:solidFill>
                <a:schemeClr val="accent5">
                  <a:lumMod val="50000"/>
                </a:schemeClr>
              </a:solidFill>
              <a:latin typeface="Calibri"/>
              <a:ea typeface="Calibri"/>
              <a:cs typeface="Calibri"/>
            </a:rPr>
            <a:pPr algn="ctr"/>
            <a:t>730</a:t>
          </a:fld>
          <a:endParaRPr lang="en-IN" sz="2400" b="1">
            <a:solidFill>
              <a:schemeClr val="accent5">
                <a:lumMod val="50000"/>
              </a:schemeClr>
            </a:solidFill>
          </a:endParaRPr>
        </a:p>
      </xdr:txBody>
    </xdr:sp>
    <xdr:clientData/>
  </xdr:twoCellAnchor>
  <xdr:twoCellAnchor>
    <xdr:from>
      <xdr:col>10</xdr:col>
      <xdr:colOff>304800</xdr:colOff>
      <xdr:row>2</xdr:row>
      <xdr:rowOff>635</xdr:rowOff>
    </xdr:from>
    <xdr:to>
      <xdr:col>27</xdr:col>
      <xdr:colOff>342900</xdr:colOff>
      <xdr:row>5</xdr:row>
      <xdr:rowOff>63500</xdr:rowOff>
    </xdr:to>
    <xdr:sp macro="" textlink="">
      <xdr:nvSpPr>
        <xdr:cNvPr id="5" name="Text Box 4">
          <a:extLst>
            <a:ext uri="{FF2B5EF4-FFF2-40B4-BE49-F238E27FC236}">
              <a16:creationId xmlns:a16="http://schemas.microsoft.com/office/drawing/2014/main" id="{00000000-0008-0000-0700-000005000000}"/>
            </a:ext>
          </a:extLst>
        </xdr:cNvPr>
        <xdr:cNvSpPr txBox="1"/>
      </xdr:nvSpPr>
      <xdr:spPr>
        <a:xfrm>
          <a:off x="6400800" y="330835"/>
          <a:ext cx="10401300" cy="48196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US" sz="4000" b="1">
              <a:solidFill>
                <a:schemeClr val="bg2"/>
              </a:solidFill>
              <a:latin typeface="Arial" panose="020B0604020202020204" pitchFamily="7" charset="0"/>
              <a:cs typeface="Arial" panose="020B0604020202020204" pitchFamily="7" charset="0"/>
            </a:rPr>
            <a:t>Cricket World Cup 2023 Dashboard</a:t>
          </a:r>
        </a:p>
      </xdr:txBody>
    </xdr:sp>
    <xdr:clientData/>
  </xdr:twoCellAnchor>
  <xdr:twoCellAnchor editAs="oneCell">
    <xdr:from>
      <xdr:col>0</xdr:col>
      <xdr:colOff>325210</xdr:colOff>
      <xdr:row>40</xdr:row>
      <xdr:rowOff>114301</xdr:rowOff>
    </xdr:from>
    <xdr:to>
      <xdr:col>3</xdr:col>
      <xdr:colOff>317046</xdr:colOff>
      <xdr:row>62</xdr:row>
      <xdr:rowOff>136072</xdr:rowOff>
    </xdr:to>
    <mc:AlternateContent xmlns:mc="http://schemas.openxmlformats.org/markup-compatibility/2006">
      <mc:Choice xmlns:a14="http://schemas.microsoft.com/office/drawing/2010/main" Requires="a14">
        <xdr:graphicFrame macro="">
          <xdr:nvGraphicFramePr>
            <xdr:cNvPr id="22" name="Match ID">
              <a:extLst>
                <a:ext uri="{FF2B5EF4-FFF2-40B4-BE49-F238E27FC236}">
                  <a16:creationId xmlns:a16="http://schemas.microsoft.com/office/drawing/2014/main" id="{CD2EF012-7AC5-47EC-9B69-2A06353B67C7}"/>
                </a:ext>
              </a:extLst>
            </xdr:cNvPr>
            <xdr:cNvGraphicFramePr/>
          </xdr:nvGraphicFramePr>
          <xdr:xfrm>
            <a:off x="0" y="0"/>
            <a:ext cx="0" cy="0"/>
          </xdr:xfrm>
          <a:graphic>
            <a:graphicData uri="http://schemas.microsoft.com/office/drawing/2010/slicer">
              <sle:slicer xmlns:sle="http://schemas.microsoft.com/office/drawing/2010/slicer" name="Match ID"/>
            </a:graphicData>
          </a:graphic>
        </xdr:graphicFrame>
      </mc:Choice>
      <mc:Fallback>
        <xdr:sp macro="" textlink="">
          <xdr:nvSpPr>
            <xdr:cNvPr id="0" name=""/>
            <xdr:cNvSpPr>
              <a:spLocks noTextEdit="1"/>
            </xdr:cNvSpPr>
          </xdr:nvSpPr>
          <xdr:spPr>
            <a:xfrm>
              <a:off x="325210" y="6183087"/>
              <a:ext cx="1828800" cy="3314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sharma" refreshedDate="46305.624367013887" createdVersion="8" refreshedVersion="8" minRefreshableVersion="3" recordCount="97" xr:uid="{64EF7A93-8B2C-4B03-9566-B92614434EC5}">
  <cacheSource type="worksheet">
    <worksheetSource ref="A1:S1048576" sheet="Pivot Data"/>
  </cacheSource>
  <cacheFields count="19">
    <cacheField name="Match ID" numFmtId="0">
      <sharedItems containsString="0" containsBlank="1" containsNumber="1" containsInteger="1" minValue="1" maxValue="96" count="9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m/>
      </sharedItems>
    </cacheField>
    <cacheField name="Match Date" numFmtId="0">
      <sharedItems containsBlank="1"/>
    </cacheField>
    <cacheField name="Team" numFmtId="0">
      <sharedItems containsBlank="1" count="11">
        <s v="England"/>
        <s v="NewZealand"/>
        <s v="Pakistan"/>
        <s v="Netherlands"/>
        <s v="Afghanistan"/>
        <s v="Bangladesh"/>
        <s v="South Africa"/>
        <s v="Sri Lanka"/>
        <s v="Australia"/>
        <s v="India"/>
        <m/>
      </sharedItems>
    </cacheField>
    <cacheField name="Opponent" numFmtId="0">
      <sharedItems containsBlank="1" count="11">
        <s v="NewZealand"/>
        <s v="England"/>
        <s v="Netherlands"/>
        <s v="Pakistan"/>
        <s v="Bangladesh"/>
        <s v="Afghanistan"/>
        <s v="Sri Lanka"/>
        <s v="South Africa"/>
        <s v="India"/>
        <s v="Australia"/>
        <m/>
      </sharedItems>
    </cacheField>
    <cacheField name="Venue" numFmtId="0">
      <sharedItems containsBlank="1" count="11">
        <s v="Narendra Modi Stadium"/>
        <s v="Eden Gardens"/>
        <s v="HPCA Stadium"/>
        <s v="Arun Jaitley Stadium"/>
        <s v="M. A. Chidambaram Stadium"/>
        <s v="Rajiv Gandhi International Stadium"/>
        <s v="BRSABV Ekana Cricket Stadium"/>
        <s v="Maharashtra Cricket Association Stadium"/>
        <s v="M. Chinnaswamy Stadium"/>
        <s v="Wankhede Stadium"/>
        <m/>
      </sharedItems>
    </cacheField>
    <cacheField name="City" numFmtId="0">
      <sharedItems containsBlank="1" count="11">
        <s v="Ahmedabad"/>
        <s v="Hyderabad"/>
        <s v="Dharamshala"/>
        <s v="Delhi"/>
        <s v="Chennai"/>
        <s v="Lucknow"/>
        <s v="Pune"/>
        <s v="Bangalore"/>
        <s v="Mumbai"/>
        <s v="Kolkata"/>
        <m/>
      </sharedItems>
    </cacheField>
    <cacheField name="Toss Winner" numFmtId="0">
      <sharedItems containsBlank="1" count="11">
        <s v="NewZealand"/>
        <s v="Netherlands"/>
        <s v="Bangladesh"/>
        <s v="Sri Lanka"/>
        <s v="Australia"/>
        <s v="Afghanistan"/>
        <s v="India"/>
        <s v="England"/>
        <s v="South Africa"/>
        <s v="Pakistan"/>
        <m/>
      </sharedItems>
    </cacheField>
    <cacheField name="Toss Decision" numFmtId="0">
      <sharedItems containsBlank="1" count="3">
        <s v="Field"/>
        <s v="Bat"/>
        <m/>
      </sharedItems>
    </cacheField>
    <cacheField name="Runs" numFmtId="0">
      <sharedItems containsString="0" containsBlank="1" containsNumber="1" containsInteger="1" minValue="55" maxValue="428"/>
    </cacheField>
    <cacheField name="Wickets Lost" numFmtId="0">
      <sharedItems containsString="0" containsBlank="1" containsNumber="1" containsInteger="1" minValue="1" maxValue="10"/>
    </cacheField>
    <cacheField name="Overs" numFmtId="0">
      <sharedItems containsString="0" containsBlank="1" containsNumber="1" minValue="19.399999999999999" maxValue="50"/>
    </cacheField>
    <cacheField name="Run Rate" numFmtId="0">
      <sharedItems containsString="0" containsBlank="1" containsNumber="1" minValue="2.79" maxValue="8.56"/>
    </cacheField>
    <cacheField name="Boundaries" numFmtId="0">
      <sharedItems containsString="0" containsBlank="1" containsNumber="1" containsInteger="1" minValue="6" maxValue="59"/>
    </cacheField>
    <cacheField name="Extras" numFmtId="0">
      <sharedItems containsString="0" containsBlank="1" containsNumber="1" containsInteger="1" minValue="2" maxValue="33"/>
    </cacheField>
    <cacheField name="Result" numFmtId="0">
      <sharedItems containsBlank="1" count="3">
        <s v="Loss"/>
        <s v="Win"/>
        <m/>
      </sharedItems>
    </cacheField>
    <cacheField name="Match Winner" numFmtId="0">
      <sharedItems containsBlank="1" count="11">
        <s v="NewZealand"/>
        <s v="Pakistan"/>
        <s v="Bangladesh"/>
        <s v="South Africa"/>
        <s v="India"/>
        <s v="England"/>
        <s v="Afghanistan"/>
        <s v="Australia"/>
        <s v="Netherlands"/>
        <s v="Sri Lanka"/>
        <m/>
      </sharedItems>
    </cacheField>
    <cacheField name="Man of the Match" numFmtId="0">
      <sharedItems containsBlank="1"/>
    </cacheField>
    <cacheField name="MOM Country" numFmtId="0">
      <sharedItems containsBlank="1"/>
    </cacheField>
    <cacheField name="Toss and Match Winner" numFmtId="0">
      <sharedItems containsBlank="1" count="11">
        <s v="NewZealand"/>
        <s v="No"/>
        <s v="Bangladesh"/>
        <s v="India"/>
        <s v="South Africa"/>
        <s v="Australia"/>
        <s v="Netherlands"/>
        <s v="Afghanistan"/>
        <s v="Pakistan"/>
        <s v="England"/>
        <m/>
      </sharedItems>
    </cacheField>
  </cacheFields>
  <extLst>
    <ext xmlns:x14="http://schemas.microsoft.com/office/spreadsheetml/2009/9/main" uri="{725AE2AE-9491-48be-B2B4-4EB974FC3084}">
      <x14:pivotCacheDefinition pivotCacheId="68372760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s v="05-10-2023"/>
    <x v="0"/>
    <x v="0"/>
    <x v="0"/>
    <x v="0"/>
    <x v="0"/>
    <x v="0"/>
    <n v="282"/>
    <n v="9"/>
    <n v="50"/>
    <n v="5.64"/>
    <n v="27"/>
    <n v="8"/>
    <x v="0"/>
    <x v="0"/>
    <s v="Rachin Ravindra"/>
    <s v="NewZealand"/>
    <x v="0"/>
  </r>
  <r>
    <x v="1"/>
    <s v="05-10-2023"/>
    <x v="1"/>
    <x v="1"/>
    <x v="0"/>
    <x v="0"/>
    <x v="0"/>
    <x v="0"/>
    <n v="283"/>
    <n v="1"/>
    <n v="36.200000000000003"/>
    <n v="7.78"/>
    <n v="38"/>
    <n v="6"/>
    <x v="1"/>
    <x v="0"/>
    <s v="Rachin Ravindra"/>
    <s v="NewZealand"/>
    <x v="0"/>
  </r>
  <r>
    <x v="2"/>
    <s v="06-10-2023"/>
    <x v="2"/>
    <x v="2"/>
    <x v="1"/>
    <x v="1"/>
    <x v="1"/>
    <x v="0"/>
    <n v="286"/>
    <n v="10"/>
    <n v="49"/>
    <n v="5.83"/>
    <n v="36"/>
    <n v="9"/>
    <x v="1"/>
    <x v="1"/>
    <s v="Saud Shakeel"/>
    <s v="Pakistan"/>
    <x v="1"/>
  </r>
  <r>
    <x v="3"/>
    <s v="06-10-2023"/>
    <x v="3"/>
    <x v="3"/>
    <x v="1"/>
    <x v="1"/>
    <x v="1"/>
    <x v="0"/>
    <n v="205"/>
    <n v="10"/>
    <n v="41"/>
    <n v="5"/>
    <n v="24"/>
    <n v="9"/>
    <x v="0"/>
    <x v="1"/>
    <s v="Saud Shakeel"/>
    <s v="Pakistan"/>
    <x v="1"/>
  </r>
  <r>
    <x v="4"/>
    <s v="07-10-2023"/>
    <x v="4"/>
    <x v="4"/>
    <x v="2"/>
    <x v="2"/>
    <x v="2"/>
    <x v="0"/>
    <n v="156"/>
    <n v="10"/>
    <n v="37.200000000000003"/>
    <n v="4.17"/>
    <n v="17"/>
    <n v="8"/>
    <x v="0"/>
    <x v="2"/>
    <s v="Mehidy Hasan Miraz"/>
    <s v="Bangladesh"/>
    <x v="2"/>
  </r>
  <r>
    <x v="5"/>
    <s v="07-10-2023"/>
    <x v="5"/>
    <x v="5"/>
    <x v="2"/>
    <x v="2"/>
    <x v="2"/>
    <x v="0"/>
    <n v="158"/>
    <n v="4"/>
    <n v="34.4"/>
    <n v="4.55"/>
    <n v="14"/>
    <n v="8"/>
    <x v="1"/>
    <x v="2"/>
    <s v="Mehidy Hasan Miraz"/>
    <s v="Bangladesh"/>
    <x v="2"/>
  </r>
  <r>
    <x v="6"/>
    <s v="07-10-2023"/>
    <x v="6"/>
    <x v="6"/>
    <x v="3"/>
    <x v="3"/>
    <x v="3"/>
    <x v="0"/>
    <n v="428"/>
    <n v="5"/>
    <n v="50"/>
    <n v="8.56"/>
    <n v="59"/>
    <n v="20"/>
    <x v="1"/>
    <x v="3"/>
    <s v="Aiden Markram"/>
    <s v="South Africa"/>
    <x v="1"/>
  </r>
  <r>
    <x v="7"/>
    <s v="07-10-2023"/>
    <x v="7"/>
    <x v="7"/>
    <x v="3"/>
    <x v="3"/>
    <x v="3"/>
    <x v="0"/>
    <n v="326"/>
    <n v="10"/>
    <n v="44.5"/>
    <n v="7.27"/>
    <n v="48"/>
    <n v="23"/>
    <x v="0"/>
    <x v="3"/>
    <s v="Aiden Markram"/>
    <s v="South Africa"/>
    <x v="1"/>
  </r>
  <r>
    <x v="8"/>
    <s v="08-10-2023"/>
    <x v="8"/>
    <x v="8"/>
    <x v="4"/>
    <x v="4"/>
    <x v="4"/>
    <x v="1"/>
    <n v="199"/>
    <n v="10"/>
    <n v="49.3"/>
    <n v="4.0199999999999996"/>
    <n v="18"/>
    <n v="8"/>
    <x v="0"/>
    <x v="4"/>
    <s v="KL Rahul"/>
    <s v="India"/>
    <x v="1"/>
  </r>
  <r>
    <x v="9"/>
    <s v="08-10-2023"/>
    <x v="9"/>
    <x v="9"/>
    <x v="4"/>
    <x v="4"/>
    <x v="4"/>
    <x v="1"/>
    <n v="201"/>
    <n v="4"/>
    <n v="41.2"/>
    <n v="4.8600000000000003"/>
    <n v="17"/>
    <n v="12"/>
    <x v="1"/>
    <x v="4"/>
    <s v="KL Rahul"/>
    <s v="India"/>
    <x v="1"/>
  </r>
  <r>
    <x v="10"/>
    <s v="09-10-2023"/>
    <x v="1"/>
    <x v="2"/>
    <x v="5"/>
    <x v="1"/>
    <x v="1"/>
    <x v="0"/>
    <n v="322"/>
    <n v="7"/>
    <n v="50"/>
    <n v="6.44"/>
    <n v="40"/>
    <n v="4"/>
    <x v="1"/>
    <x v="0"/>
    <s v="Mitchell Santner"/>
    <s v="NewZealand"/>
    <x v="1"/>
  </r>
  <r>
    <x v="11"/>
    <s v="09-10-2023"/>
    <x v="3"/>
    <x v="0"/>
    <x v="5"/>
    <x v="1"/>
    <x v="1"/>
    <x v="0"/>
    <n v="223"/>
    <n v="10"/>
    <n v="46.3"/>
    <n v="4.79"/>
    <n v="22"/>
    <n v="13"/>
    <x v="0"/>
    <x v="0"/>
    <s v="Mitchell Santner"/>
    <s v="NewZealand"/>
    <x v="1"/>
  </r>
  <r>
    <x v="12"/>
    <s v="10-10-2023"/>
    <x v="0"/>
    <x v="4"/>
    <x v="2"/>
    <x v="2"/>
    <x v="2"/>
    <x v="0"/>
    <n v="364"/>
    <n v="9"/>
    <n v="50"/>
    <n v="7.28"/>
    <n v="48"/>
    <n v="7"/>
    <x v="1"/>
    <x v="5"/>
    <s v="Dawid Malan"/>
    <s v="England"/>
    <x v="1"/>
  </r>
  <r>
    <x v="13"/>
    <s v="10-10-2023"/>
    <x v="5"/>
    <x v="1"/>
    <x v="2"/>
    <x v="2"/>
    <x v="2"/>
    <x v="0"/>
    <n v="227"/>
    <n v="10"/>
    <n v="48.2"/>
    <n v="4.6900000000000004"/>
    <n v="20"/>
    <n v="7"/>
    <x v="0"/>
    <x v="5"/>
    <s v="Dawid Malan"/>
    <s v="England"/>
    <x v="1"/>
  </r>
  <r>
    <x v="14"/>
    <s v="10-10-2023"/>
    <x v="7"/>
    <x v="3"/>
    <x v="5"/>
    <x v="1"/>
    <x v="3"/>
    <x v="1"/>
    <n v="344"/>
    <n v="9"/>
    <n v="50"/>
    <n v="6.88"/>
    <n v="45"/>
    <n v="26"/>
    <x v="0"/>
    <x v="1"/>
    <s v="Mohammad Rizwan"/>
    <s v="Pakistan"/>
    <x v="1"/>
  </r>
  <r>
    <x v="15"/>
    <s v="10-10-2023"/>
    <x v="2"/>
    <x v="6"/>
    <x v="5"/>
    <x v="1"/>
    <x v="3"/>
    <x v="1"/>
    <n v="345"/>
    <n v="4"/>
    <n v="48.2"/>
    <n v="7.13"/>
    <n v="32"/>
    <n v="14"/>
    <x v="1"/>
    <x v="1"/>
    <s v="Mohammad Rizwan"/>
    <s v="Pakistan"/>
    <x v="1"/>
  </r>
  <r>
    <x v="16"/>
    <s v="11-10-2023"/>
    <x v="4"/>
    <x v="8"/>
    <x v="3"/>
    <x v="3"/>
    <x v="5"/>
    <x v="1"/>
    <n v="272"/>
    <n v="8"/>
    <n v="50"/>
    <n v="5.44"/>
    <n v="32"/>
    <n v="15"/>
    <x v="0"/>
    <x v="4"/>
    <s v="Rohit Sharma"/>
    <s v="India"/>
    <x v="1"/>
  </r>
  <r>
    <x v="17"/>
    <s v="11-10-2023"/>
    <x v="9"/>
    <x v="5"/>
    <x v="3"/>
    <x v="3"/>
    <x v="5"/>
    <x v="1"/>
    <n v="273"/>
    <n v="2"/>
    <n v="35"/>
    <n v="7.8"/>
    <n v="36"/>
    <n v="15"/>
    <x v="1"/>
    <x v="4"/>
    <s v="Rohit Sharma"/>
    <s v="India"/>
    <x v="1"/>
  </r>
  <r>
    <x v="18"/>
    <s v="12-10-2023"/>
    <x v="6"/>
    <x v="9"/>
    <x v="6"/>
    <x v="5"/>
    <x v="4"/>
    <x v="0"/>
    <n v="311"/>
    <n v="7"/>
    <n v="50"/>
    <n v="6.22"/>
    <n v="34"/>
    <n v="17"/>
    <x v="1"/>
    <x v="3"/>
    <s v="Quinton de Kock"/>
    <s v="South Africa"/>
    <x v="1"/>
  </r>
  <r>
    <x v="19"/>
    <s v="12-10-2023"/>
    <x v="8"/>
    <x v="7"/>
    <x v="6"/>
    <x v="5"/>
    <x v="4"/>
    <x v="0"/>
    <n v="177"/>
    <n v="10"/>
    <n v="40.5"/>
    <n v="4.33"/>
    <n v="19"/>
    <n v="13"/>
    <x v="0"/>
    <x v="3"/>
    <s v="Quinton de Kock"/>
    <s v="South Africa"/>
    <x v="1"/>
  </r>
  <r>
    <x v="20"/>
    <s v="13-10-2023"/>
    <x v="5"/>
    <x v="0"/>
    <x v="4"/>
    <x v="4"/>
    <x v="0"/>
    <x v="0"/>
    <n v="245"/>
    <n v="9"/>
    <n v="50"/>
    <n v="4.9000000000000004"/>
    <n v="28"/>
    <n v="11"/>
    <x v="0"/>
    <x v="0"/>
    <s v="Lockie Ferguson"/>
    <s v="NewZealand"/>
    <x v="0"/>
  </r>
  <r>
    <x v="21"/>
    <s v="13-10-2023"/>
    <x v="1"/>
    <x v="4"/>
    <x v="4"/>
    <x v="4"/>
    <x v="0"/>
    <x v="0"/>
    <n v="248"/>
    <n v="2"/>
    <n v="42.5"/>
    <n v="5.78"/>
    <n v="26"/>
    <n v="9"/>
    <x v="1"/>
    <x v="0"/>
    <s v="Lockie Ferguson"/>
    <s v="NewZealand"/>
    <x v="0"/>
  </r>
  <r>
    <x v="22"/>
    <s v="14-10-2023"/>
    <x v="2"/>
    <x v="8"/>
    <x v="0"/>
    <x v="0"/>
    <x v="6"/>
    <x v="0"/>
    <n v="191"/>
    <n v="10"/>
    <n v="42.5"/>
    <n v="4.45"/>
    <n v="26"/>
    <n v="6"/>
    <x v="0"/>
    <x v="4"/>
    <s v="Jasprit Bumrah"/>
    <s v="India"/>
    <x v="3"/>
  </r>
  <r>
    <x v="23"/>
    <s v="14-10-2023"/>
    <x v="9"/>
    <x v="3"/>
    <x v="0"/>
    <x v="0"/>
    <x v="6"/>
    <x v="0"/>
    <n v="192"/>
    <n v="3"/>
    <n v="30.3"/>
    <n v="6.29"/>
    <n v="25"/>
    <n v="4"/>
    <x v="1"/>
    <x v="4"/>
    <s v="Jasprit Bumrah"/>
    <s v="India"/>
    <x v="3"/>
  </r>
  <r>
    <x v="24"/>
    <s v="15-10-2023"/>
    <x v="4"/>
    <x v="1"/>
    <x v="3"/>
    <x v="3"/>
    <x v="7"/>
    <x v="0"/>
    <n v="284"/>
    <n v="10"/>
    <n v="49.5"/>
    <n v="5.69"/>
    <n v="31"/>
    <n v="13"/>
    <x v="1"/>
    <x v="6"/>
    <s v="Mujeeb Ur Rahman"/>
    <s v="Afghanistan"/>
    <x v="1"/>
  </r>
  <r>
    <x v="25"/>
    <s v="15-10-2023"/>
    <x v="0"/>
    <x v="5"/>
    <x v="3"/>
    <x v="3"/>
    <x v="7"/>
    <x v="0"/>
    <n v="215"/>
    <n v="10"/>
    <n v="40.299999999999997"/>
    <n v="5.3"/>
    <n v="25"/>
    <n v="15"/>
    <x v="0"/>
    <x v="6"/>
    <s v="Mujeeb Ur Rahman"/>
    <s v="Afghanistan"/>
    <x v="1"/>
  </r>
  <r>
    <x v="26"/>
    <s v="16-10-2023"/>
    <x v="7"/>
    <x v="9"/>
    <x v="6"/>
    <x v="5"/>
    <x v="3"/>
    <x v="1"/>
    <n v="209"/>
    <n v="10"/>
    <n v="43.3"/>
    <n v="4.8"/>
    <n v="24"/>
    <n v="3"/>
    <x v="0"/>
    <x v="7"/>
    <s v="Adam Zampa"/>
    <s v="Australia"/>
    <x v="1"/>
  </r>
  <r>
    <x v="27"/>
    <s v="16-10-2023"/>
    <x v="8"/>
    <x v="6"/>
    <x v="6"/>
    <x v="5"/>
    <x v="3"/>
    <x v="1"/>
    <n v="215"/>
    <n v="5"/>
    <n v="35.200000000000003"/>
    <n v="6.08"/>
    <n v="27"/>
    <n v="13"/>
    <x v="1"/>
    <x v="7"/>
    <s v="Adam Zampa"/>
    <s v="Australia"/>
    <x v="1"/>
  </r>
  <r>
    <x v="28"/>
    <s v="17-10-2023"/>
    <x v="3"/>
    <x v="7"/>
    <x v="2"/>
    <x v="2"/>
    <x v="8"/>
    <x v="0"/>
    <n v="245"/>
    <n v="8"/>
    <n v="43"/>
    <n v="5.69"/>
    <n v="29"/>
    <n v="8"/>
    <x v="1"/>
    <x v="8"/>
    <s v="Scott Edwards"/>
    <s v="Netherlands"/>
    <x v="1"/>
  </r>
  <r>
    <x v="29"/>
    <s v="17-10-2023"/>
    <x v="6"/>
    <x v="2"/>
    <x v="2"/>
    <x v="2"/>
    <x v="8"/>
    <x v="0"/>
    <n v="207"/>
    <n v="10"/>
    <n v="42.5"/>
    <n v="4.83"/>
    <n v="24"/>
    <n v="32"/>
    <x v="0"/>
    <x v="8"/>
    <s v="Scott Edwards"/>
    <s v="Netherlands"/>
    <x v="1"/>
  </r>
  <r>
    <x v="30"/>
    <s v="18-10-2023"/>
    <x v="1"/>
    <x v="5"/>
    <x v="4"/>
    <x v="4"/>
    <x v="5"/>
    <x v="0"/>
    <n v="288"/>
    <n v="6"/>
    <n v="50"/>
    <n v="5.76"/>
    <n v="30"/>
    <n v="5"/>
    <x v="1"/>
    <x v="0"/>
    <s v="Glenn Phillips"/>
    <s v="NewZealand"/>
    <x v="1"/>
  </r>
  <r>
    <x v="31"/>
    <s v="18-10-2023"/>
    <x v="4"/>
    <x v="0"/>
    <x v="4"/>
    <x v="4"/>
    <x v="5"/>
    <x v="0"/>
    <n v="139"/>
    <n v="10"/>
    <n v="34.4"/>
    <n v="4"/>
    <n v="13"/>
    <n v="10"/>
    <x v="0"/>
    <x v="0"/>
    <s v="Glenn Phillips"/>
    <s v="NewZealand"/>
    <x v="1"/>
  </r>
  <r>
    <x v="32"/>
    <s v="19-10-2023"/>
    <x v="5"/>
    <x v="8"/>
    <x v="7"/>
    <x v="6"/>
    <x v="2"/>
    <x v="1"/>
    <n v="256"/>
    <n v="8"/>
    <n v="50"/>
    <n v="5.12"/>
    <n v="26"/>
    <n v="4"/>
    <x v="0"/>
    <x v="4"/>
    <s v="Virat Kohli"/>
    <s v="India"/>
    <x v="1"/>
  </r>
  <r>
    <x v="33"/>
    <s v="19-10-2023"/>
    <x v="9"/>
    <x v="4"/>
    <x v="7"/>
    <x v="6"/>
    <x v="2"/>
    <x v="1"/>
    <n v="261"/>
    <n v="3"/>
    <n v="41.3"/>
    <n v="6.28"/>
    <n v="32"/>
    <n v="6"/>
    <x v="1"/>
    <x v="4"/>
    <s v="Virat Kohli"/>
    <s v="India"/>
    <x v="1"/>
  </r>
  <r>
    <x v="34"/>
    <s v="20-10-2023"/>
    <x v="8"/>
    <x v="3"/>
    <x v="8"/>
    <x v="7"/>
    <x v="9"/>
    <x v="0"/>
    <n v="367"/>
    <n v="9"/>
    <n v="50"/>
    <n v="7.34"/>
    <n v="48"/>
    <n v="19"/>
    <x v="1"/>
    <x v="7"/>
    <s v="David Warner"/>
    <s v="Australia"/>
    <x v="1"/>
  </r>
  <r>
    <x v="35"/>
    <s v="20-10-2023"/>
    <x v="2"/>
    <x v="9"/>
    <x v="8"/>
    <x v="7"/>
    <x v="9"/>
    <x v="0"/>
    <n v="305"/>
    <n v="10"/>
    <n v="45.3"/>
    <n v="6.7"/>
    <n v="40"/>
    <n v="25"/>
    <x v="0"/>
    <x v="7"/>
    <s v="David Warner"/>
    <s v="Australia"/>
    <x v="1"/>
  </r>
  <r>
    <x v="36"/>
    <s v="21-10-2023"/>
    <x v="3"/>
    <x v="6"/>
    <x v="6"/>
    <x v="5"/>
    <x v="1"/>
    <x v="1"/>
    <n v="262"/>
    <n v="10"/>
    <n v="49.4"/>
    <n v="5.27"/>
    <n v="17"/>
    <n v="24"/>
    <x v="0"/>
    <x v="9"/>
    <s v="Sadeera Samarawickrama"/>
    <s v="Sri Lanka"/>
    <x v="1"/>
  </r>
  <r>
    <x v="37"/>
    <s v="21-10-2023"/>
    <x v="7"/>
    <x v="2"/>
    <x v="6"/>
    <x v="5"/>
    <x v="1"/>
    <x v="1"/>
    <n v="263"/>
    <n v="5"/>
    <n v="48.2"/>
    <n v="5.44"/>
    <n v="26"/>
    <n v="33"/>
    <x v="1"/>
    <x v="9"/>
    <s v="Sadeera Samarawickrama"/>
    <s v="Sri Lanka"/>
    <x v="1"/>
  </r>
  <r>
    <x v="38"/>
    <s v="21-10-2023"/>
    <x v="6"/>
    <x v="1"/>
    <x v="9"/>
    <x v="8"/>
    <x v="7"/>
    <x v="0"/>
    <n v="399"/>
    <n v="7"/>
    <n v="50"/>
    <n v="7.98"/>
    <n v="51"/>
    <n v="15"/>
    <x v="1"/>
    <x v="3"/>
    <s v="Heinrich Klaasen"/>
    <s v="South Africa"/>
    <x v="1"/>
  </r>
  <r>
    <x v="39"/>
    <s v="21-10-2023"/>
    <x v="0"/>
    <x v="7"/>
    <x v="9"/>
    <x v="8"/>
    <x v="7"/>
    <x v="0"/>
    <n v="170"/>
    <n v="10"/>
    <n v="22"/>
    <n v="7.72"/>
    <n v="27"/>
    <n v="15"/>
    <x v="0"/>
    <x v="3"/>
    <s v="Heinrich Klaasen"/>
    <s v="South Africa"/>
    <x v="1"/>
  </r>
  <r>
    <x v="40"/>
    <s v="22-10-2023"/>
    <x v="1"/>
    <x v="8"/>
    <x v="2"/>
    <x v="2"/>
    <x v="6"/>
    <x v="0"/>
    <n v="273"/>
    <n v="10"/>
    <n v="50"/>
    <n v="5.46"/>
    <n v="26"/>
    <n v="5"/>
    <x v="0"/>
    <x v="4"/>
    <s v="Mohammed Shami"/>
    <s v="India"/>
    <x v="3"/>
  </r>
  <r>
    <x v="41"/>
    <s v="22-10-2023"/>
    <x v="9"/>
    <x v="0"/>
    <x v="2"/>
    <x v="2"/>
    <x v="6"/>
    <x v="0"/>
    <n v="274"/>
    <n v="6"/>
    <n v="48"/>
    <n v="5.7"/>
    <n v="36"/>
    <n v="15"/>
    <x v="1"/>
    <x v="4"/>
    <s v="Mohammed Shami"/>
    <s v="India"/>
    <x v="3"/>
  </r>
  <r>
    <x v="42"/>
    <s v="23-10-2023"/>
    <x v="2"/>
    <x v="5"/>
    <x v="4"/>
    <x v="4"/>
    <x v="9"/>
    <x v="1"/>
    <n v="282"/>
    <n v="7"/>
    <n v="50"/>
    <n v="5.64"/>
    <n v="26"/>
    <n v="9"/>
    <x v="0"/>
    <x v="6"/>
    <s v="Ibrahim Zadran"/>
    <s v="Afghanistan"/>
    <x v="1"/>
  </r>
  <r>
    <x v="43"/>
    <s v="23-10-2023"/>
    <x v="4"/>
    <x v="3"/>
    <x v="4"/>
    <x v="4"/>
    <x v="9"/>
    <x v="1"/>
    <n v="286"/>
    <n v="2"/>
    <n v="49"/>
    <n v="5.83"/>
    <n v="31"/>
    <n v="17"/>
    <x v="1"/>
    <x v="6"/>
    <s v="Ibrahim Zadran"/>
    <s v="Afghanistan"/>
    <x v="1"/>
  </r>
  <r>
    <x v="44"/>
    <s v="24-10-2023"/>
    <x v="6"/>
    <x v="4"/>
    <x v="9"/>
    <x v="8"/>
    <x v="8"/>
    <x v="1"/>
    <n v="382"/>
    <n v="5"/>
    <n v="50"/>
    <n v="7.64"/>
    <n v="45"/>
    <n v="17"/>
    <x v="1"/>
    <x v="3"/>
    <s v="Quinton de Kock"/>
    <s v="South Africa"/>
    <x v="4"/>
  </r>
  <r>
    <x v="45"/>
    <s v="24-10-2023"/>
    <x v="5"/>
    <x v="7"/>
    <x v="9"/>
    <x v="8"/>
    <x v="8"/>
    <x v="1"/>
    <n v="233"/>
    <n v="10"/>
    <n v="46.4"/>
    <n v="4.99"/>
    <n v="30"/>
    <n v="10"/>
    <x v="0"/>
    <x v="3"/>
    <s v="Quinton de Kock"/>
    <s v="South Africa"/>
    <x v="4"/>
  </r>
  <r>
    <x v="46"/>
    <s v="25-10-2023"/>
    <x v="8"/>
    <x v="2"/>
    <x v="3"/>
    <x v="3"/>
    <x v="4"/>
    <x v="1"/>
    <n v="399"/>
    <n v="8"/>
    <n v="50"/>
    <n v="7.98"/>
    <n v="57"/>
    <n v="7"/>
    <x v="1"/>
    <x v="7"/>
    <s v="Glenn Maxwell"/>
    <s v="Australia"/>
    <x v="5"/>
  </r>
  <r>
    <x v="47"/>
    <s v="25-10-2023"/>
    <x v="3"/>
    <x v="9"/>
    <x v="3"/>
    <x v="3"/>
    <x v="4"/>
    <x v="1"/>
    <n v="90"/>
    <n v="10"/>
    <n v="21"/>
    <n v="4.28"/>
    <n v="13"/>
    <n v="12"/>
    <x v="0"/>
    <x v="7"/>
    <s v="Glenn Maxwell"/>
    <s v="Australia"/>
    <x v="5"/>
  </r>
  <r>
    <x v="48"/>
    <s v="26-10-2023"/>
    <x v="0"/>
    <x v="6"/>
    <x v="8"/>
    <x v="7"/>
    <x v="7"/>
    <x v="1"/>
    <n v="156"/>
    <n v="10"/>
    <n v="33.200000000000003"/>
    <n v="4.68"/>
    <n v="20"/>
    <n v="3"/>
    <x v="0"/>
    <x v="9"/>
    <s v="Lahiru Kumara"/>
    <s v="Sri Lanka"/>
    <x v="1"/>
  </r>
  <r>
    <x v="49"/>
    <s v="26-10-2023"/>
    <x v="7"/>
    <x v="1"/>
    <x v="8"/>
    <x v="7"/>
    <x v="7"/>
    <x v="1"/>
    <n v="160"/>
    <n v="2"/>
    <n v="25.4"/>
    <n v="6.23"/>
    <n v="20"/>
    <n v="7"/>
    <x v="1"/>
    <x v="9"/>
    <s v="Lahiru Kumara"/>
    <s v="Sri Lanka"/>
    <x v="1"/>
  </r>
  <r>
    <x v="50"/>
    <s v="27-10-2023"/>
    <x v="2"/>
    <x v="7"/>
    <x v="4"/>
    <x v="4"/>
    <x v="9"/>
    <x v="1"/>
    <n v="270"/>
    <n v="10"/>
    <n v="46.4"/>
    <n v="5.78"/>
    <n v="31"/>
    <n v="21"/>
    <x v="0"/>
    <x v="3"/>
    <s v="Tabraiz Shamsi"/>
    <s v="South Africa"/>
    <x v="1"/>
  </r>
  <r>
    <x v="51"/>
    <s v="27-10-2023"/>
    <x v="6"/>
    <x v="3"/>
    <x v="4"/>
    <x v="4"/>
    <x v="9"/>
    <x v="1"/>
    <n v="271"/>
    <n v="9"/>
    <n v="47.2"/>
    <n v="5.22"/>
    <n v="29"/>
    <n v="19"/>
    <x v="1"/>
    <x v="3"/>
    <s v="Tabraiz Shamsi"/>
    <s v="South Africa"/>
    <x v="1"/>
  </r>
  <r>
    <x v="52"/>
    <s v="28-10-2023"/>
    <x v="8"/>
    <x v="0"/>
    <x v="2"/>
    <x v="2"/>
    <x v="0"/>
    <x v="0"/>
    <n v="388"/>
    <n v="10"/>
    <n v="49.2"/>
    <n v="7.86"/>
    <n v="52"/>
    <n v="26"/>
    <x v="1"/>
    <x v="7"/>
    <s v="Travis Head"/>
    <s v="Australia"/>
    <x v="1"/>
  </r>
  <r>
    <x v="53"/>
    <s v="28-10-2023"/>
    <x v="1"/>
    <x v="9"/>
    <x v="2"/>
    <x v="2"/>
    <x v="0"/>
    <x v="0"/>
    <n v="383"/>
    <n v="9"/>
    <n v="50"/>
    <n v="7.66"/>
    <n v="45"/>
    <n v="9"/>
    <x v="0"/>
    <x v="7"/>
    <s v="Travis Head"/>
    <s v="Australia"/>
    <x v="1"/>
  </r>
  <r>
    <x v="54"/>
    <s v="28-10-2023"/>
    <x v="3"/>
    <x v="4"/>
    <x v="1"/>
    <x v="9"/>
    <x v="1"/>
    <x v="1"/>
    <n v="142"/>
    <n v="10"/>
    <n v="42.2"/>
    <n v="3.35"/>
    <n v="24"/>
    <n v="6"/>
    <x v="1"/>
    <x v="8"/>
    <s v="Paul van Meekeren"/>
    <s v="Netherlands"/>
    <x v="6"/>
  </r>
  <r>
    <x v="55"/>
    <s v="28-10-2023"/>
    <x v="5"/>
    <x v="2"/>
    <x v="1"/>
    <x v="9"/>
    <x v="1"/>
    <x v="1"/>
    <n v="229"/>
    <n v="10"/>
    <n v="50"/>
    <n v="4.58"/>
    <n v="18"/>
    <n v="12"/>
    <x v="0"/>
    <x v="8"/>
    <s v="Paul van Meekeren"/>
    <s v="Netherlands"/>
    <x v="6"/>
  </r>
  <r>
    <x v="56"/>
    <s v="29-10-2023"/>
    <x v="9"/>
    <x v="1"/>
    <x v="6"/>
    <x v="5"/>
    <x v="7"/>
    <x v="0"/>
    <n v="229"/>
    <n v="9"/>
    <n v="50"/>
    <n v="4.58"/>
    <n v="24"/>
    <n v="8"/>
    <x v="1"/>
    <x v="4"/>
    <s v="Rohit Sharma"/>
    <s v="India"/>
    <x v="1"/>
  </r>
  <r>
    <x v="57"/>
    <s v="29-10-2023"/>
    <x v="0"/>
    <x v="8"/>
    <x v="6"/>
    <x v="5"/>
    <x v="7"/>
    <x v="0"/>
    <n v="129"/>
    <n v="10"/>
    <n v="34.5"/>
    <n v="3.7"/>
    <n v="13"/>
    <n v="7"/>
    <x v="0"/>
    <x v="4"/>
    <s v="Rohit Sharma"/>
    <s v="India"/>
    <x v="1"/>
  </r>
  <r>
    <x v="58"/>
    <s v="30-10-2023"/>
    <x v="7"/>
    <x v="5"/>
    <x v="7"/>
    <x v="6"/>
    <x v="5"/>
    <x v="0"/>
    <n v="241"/>
    <n v="10"/>
    <n v="49.3"/>
    <n v="4.8600000000000003"/>
    <n v="21"/>
    <n v="10"/>
    <x v="0"/>
    <x v="6"/>
    <s v="Fazalhaq Farooqi"/>
    <s v="Afghanistan"/>
    <x v="7"/>
  </r>
  <r>
    <x v="59"/>
    <s v="30-10-2023"/>
    <x v="4"/>
    <x v="6"/>
    <x v="7"/>
    <x v="6"/>
    <x v="5"/>
    <x v="0"/>
    <n v="242"/>
    <n v="3"/>
    <n v="45.2"/>
    <n v="5.33"/>
    <n v="24"/>
    <n v="11"/>
    <x v="1"/>
    <x v="6"/>
    <s v="Fazalhaq Farooqi"/>
    <s v="Afghanistan"/>
    <x v="7"/>
  </r>
  <r>
    <x v="60"/>
    <s v="31-10-2023"/>
    <x v="5"/>
    <x v="3"/>
    <x v="1"/>
    <x v="9"/>
    <x v="2"/>
    <x v="1"/>
    <n v="205"/>
    <n v="3"/>
    <n v="32.299999999999997"/>
    <n v="6.3"/>
    <n v="22"/>
    <n v="4"/>
    <x v="0"/>
    <x v="1"/>
    <s v="Fakhar Zaman"/>
    <s v="Pakistan"/>
    <x v="1"/>
  </r>
  <r>
    <x v="61"/>
    <s v="31-10-2023"/>
    <x v="2"/>
    <x v="4"/>
    <x v="1"/>
    <x v="9"/>
    <x v="2"/>
    <x v="1"/>
    <n v="204"/>
    <n v="10"/>
    <n v="45.1"/>
    <n v="4.51"/>
    <n v="28"/>
    <n v="9"/>
    <x v="1"/>
    <x v="1"/>
    <s v="Fakhar Zaman"/>
    <s v="Pakistan"/>
    <x v="1"/>
  </r>
  <r>
    <x v="62"/>
    <s v="01-11-2023"/>
    <x v="6"/>
    <x v="0"/>
    <x v="7"/>
    <x v="6"/>
    <x v="0"/>
    <x v="0"/>
    <n v="357"/>
    <n v="4"/>
    <n v="50"/>
    <n v="7.14"/>
    <n v="41"/>
    <n v="12"/>
    <x v="1"/>
    <x v="3"/>
    <s v="Rassie van der Dussen"/>
    <s v="South Africa"/>
    <x v="1"/>
  </r>
  <r>
    <x v="63"/>
    <s v="01-11-2023"/>
    <x v="1"/>
    <x v="7"/>
    <x v="7"/>
    <x v="6"/>
    <x v="0"/>
    <x v="0"/>
    <n v="167"/>
    <n v="10"/>
    <n v="35.299999999999997"/>
    <n v="4.7"/>
    <n v="21"/>
    <n v="12"/>
    <x v="0"/>
    <x v="3"/>
    <s v="Rassie van der Dussen"/>
    <s v="South Africa"/>
    <x v="1"/>
  </r>
  <r>
    <x v="64"/>
    <s v="02-11-2023"/>
    <x v="9"/>
    <x v="6"/>
    <x v="9"/>
    <x v="8"/>
    <x v="3"/>
    <x v="0"/>
    <n v="357"/>
    <n v="8"/>
    <n v="50"/>
    <n v="7.14"/>
    <n v="40"/>
    <n v="10"/>
    <x v="1"/>
    <x v="4"/>
    <s v="Mohammed Shami"/>
    <s v="India"/>
    <x v="1"/>
  </r>
  <r>
    <x v="65"/>
    <s v="02-11-2023"/>
    <x v="7"/>
    <x v="8"/>
    <x v="9"/>
    <x v="8"/>
    <x v="3"/>
    <x v="0"/>
    <n v="55"/>
    <n v="10"/>
    <n v="19.399999999999999"/>
    <n v="2.79"/>
    <n v="6"/>
    <n v="20"/>
    <x v="0"/>
    <x v="4"/>
    <s v="Mohammed Shami"/>
    <s v="India"/>
    <x v="1"/>
  </r>
  <r>
    <x v="66"/>
    <s v="03-11-2023"/>
    <x v="3"/>
    <x v="5"/>
    <x v="6"/>
    <x v="5"/>
    <x v="1"/>
    <x v="1"/>
    <n v="181"/>
    <n v="3"/>
    <n v="31.3"/>
    <n v="5.74"/>
    <n v="19"/>
    <n v="12"/>
    <x v="0"/>
    <x v="6"/>
    <s v="Mohammad Nabi"/>
    <s v="Afghanistan"/>
    <x v="1"/>
  </r>
  <r>
    <x v="67"/>
    <s v="03-11-2023"/>
    <x v="4"/>
    <x v="2"/>
    <x v="6"/>
    <x v="5"/>
    <x v="1"/>
    <x v="1"/>
    <n v="179"/>
    <n v="10"/>
    <n v="46.3"/>
    <n v="3.84"/>
    <n v="21"/>
    <n v="16"/>
    <x v="1"/>
    <x v="6"/>
    <s v="Mohammad Nabi"/>
    <s v="Afghanistan"/>
    <x v="1"/>
  </r>
  <r>
    <x v="68"/>
    <s v="04-11-2023"/>
    <x v="1"/>
    <x v="3"/>
    <x v="8"/>
    <x v="7"/>
    <x v="9"/>
    <x v="0"/>
    <n v="401"/>
    <n v="6"/>
    <n v="50"/>
    <n v="8.02"/>
    <n v="54"/>
    <n v="4"/>
    <x v="0"/>
    <x v="1"/>
    <s v="Fakhar Zaman"/>
    <s v="Pakistan"/>
    <x v="8"/>
  </r>
  <r>
    <x v="69"/>
    <s v="04-11-2023"/>
    <x v="2"/>
    <x v="0"/>
    <x v="8"/>
    <x v="7"/>
    <x v="9"/>
    <x v="0"/>
    <n v="200"/>
    <n v="1"/>
    <n v="25.3"/>
    <n v="7.84"/>
    <n v="28"/>
    <n v="26"/>
    <x v="1"/>
    <x v="1"/>
    <s v="Fakhar Zaman"/>
    <s v="Pakistan"/>
    <x v="8"/>
  </r>
  <r>
    <x v="70"/>
    <s v="04-11-2023"/>
    <x v="8"/>
    <x v="1"/>
    <x v="0"/>
    <x v="0"/>
    <x v="7"/>
    <x v="0"/>
    <n v="286"/>
    <n v="10"/>
    <n v="49.3"/>
    <n v="5.77"/>
    <n v="28"/>
    <n v="14"/>
    <x v="1"/>
    <x v="7"/>
    <s v="Adam Zampa"/>
    <s v="Australia"/>
    <x v="1"/>
  </r>
  <r>
    <x v="71"/>
    <s v="04-11-2023"/>
    <x v="0"/>
    <x v="9"/>
    <x v="0"/>
    <x v="0"/>
    <x v="7"/>
    <x v="0"/>
    <n v="253"/>
    <n v="10"/>
    <n v="48.1"/>
    <n v="5.25"/>
    <n v="28"/>
    <n v="10"/>
    <x v="0"/>
    <x v="7"/>
    <s v="Adam Zampa"/>
    <s v="Australia"/>
    <x v="1"/>
  </r>
  <r>
    <x v="72"/>
    <s v="05-11-2023"/>
    <x v="9"/>
    <x v="7"/>
    <x v="1"/>
    <x v="9"/>
    <x v="6"/>
    <x v="1"/>
    <n v="326"/>
    <n v="5"/>
    <n v="50"/>
    <n v="6.52"/>
    <n v="41"/>
    <n v="2"/>
    <x v="1"/>
    <x v="4"/>
    <s v="Virat Kohli"/>
    <s v="India"/>
    <x v="3"/>
  </r>
  <r>
    <x v="73"/>
    <s v="05-11-2023"/>
    <x v="6"/>
    <x v="8"/>
    <x v="1"/>
    <x v="9"/>
    <x v="6"/>
    <x v="1"/>
    <n v="83"/>
    <n v="10"/>
    <n v="27.1"/>
    <n v="3.05"/>
    <n v="10"/>
    <n v="26"/>
    <x v="0"/>
    <x v="4"/>
    <s v="Virat Kohli"/>
    <s v="India"/>
    <x v="3"/>
  </r>
  <r>
    <x v="74"/>
    <s v="06-11-2023"/>
    <x v="7"/>
    <x v="4"/>
    <x v="3"/>
    <x v="3"/>
    <x v="2"/>
    <x v="0"/>
    <n v="279"/>
    <n v="10"/>
    <n v="49.3"/>
    <n v="5.63"/>
    <n v="34"/>
    <n v="23"/>
    <x v="0"/>
    <x v="2"/>
    <s v="Shakib Al Hasan"/>
    <s v="Bangladesh"/>
    <x v="2"/>
  </r>
  <r>
    <x v="75"/>
    <s v="06-11-2023"/>
    <x v="5"/>
    <x v="6"/>
    <x v="3"/>
    <x v="3"/>
    <x v="2"/>
    <x v="0"/>
    <n v="282"/>
    <n v="7"/>
    <n v="41.1"/>
    <n v="6.85"/>
    <n v="40"/>
    <n v="6"/>
    <x v="1"/>
    <x v="2"/>
    <s v="Shakib Al Hasan"/>
    <s v="Bangladesh"/>
    <x v="2"/>
  </r>
  <r>
    <x v="76"/>
    <s v="07-11-2023"/>
    <x v="8"/>
    <x v="5"/>
    <x v="9"/>
    <x v="8"/>
    <x v="5"/>
    <x v="1"/>
    <n v="293"/>
    <n v="7"/>
    <n v="46.5"/>
    <n v="6.25"/>
    <n v="42"/>
    <n v="16"/>
    <x v="1"/>
    <x v="7"/>
    <s v="Glenn Maxwell"/>
    <s v="Australia"/>
    <x v="1"/>
  </r>
  <r>
    <x v="77"/>
    <s v="07-11-2023"/>
    <x v="4"/>
    <x v="9"/>
    <x v="9"/>
    <x v="8"/>
    <x v="5"/>
    <x v="1"/>
    <n v="291"/>
    <n v="5"/>
    <n v="50"/>
    <n v="5.82"/>
    <n v="25"/>
    <n v="15"/>
    <x v="0"/>
    <x v="7"/>
    <s v="Glenn Maxwell"/>
    <s v="Australia"/>
    <x v="1"/>
  </r>
  <r>
    <x v="78"/>
    <s v="08-11-2023"/>
    <x v="0"/>
    <x v="2"/>
    <x v="7"/>
    <x v="6"/>
    <x v="7"/>
    <x v="1"/>
    <n v="179"/>
    <n v="10"/>
    <n v="37.200000000000003"/>
    <n v="4.79"/>
    <n v="36"/>
    <n v="8"/>
    <x v="1"/>
    <x v="5"/>
    <s v="Ben Stokes"/>
    <s v="England"/>
    <x v="9"/>
  </r>
  <r>
    <x v="79"/>
    <s v="08-11-2023"/>
    <x v="3"/>
    <x v="1"/>
    <x v="7"/>
    <x v="6"/>
    <x v="7"/>
    <x v="1"/>
    <n v="339"/>
    <n v="9"/>
    <n v="50"/>
    <n v="6.78"/>
    <n v="21"/>
    <n v="21"/>
    <x v="0"/>
    <x v="5"/>
    <s v="Ben Stokes"/>
    <s v="England"/>
    <x v="9"/>
  </r>
  <r>
    <x v="80"/>
    <s v="09-11-2023"/>
    <x v="1"/>
    <x v="6"/>
    <x v="8"/>
    <x v="7"/>
    <x v="0"/>
    <x v="0"/>
    <n v="171"/>
    <n v="10"/>
    <n v="46.4"/>
    <n v="3.66"/>
    <n v="28"/>
    <n v="4"/>
    <x v="1"/>
    <x v="0"/>
    <s v="Trent Boult"/>
    <s v="NewZealand"/>
    <x v="0"/>
  </r>
  <r>
    <x v="81"/>
    <s v="09-11-2023"/>
    <x v="7"/>
    <x v="0"/>
    <x v="8"/>
    <x v="7"/>
    <x v="0"/>
    <x v="0"/>
    <n v="172"/>
    <n v="5"/>
    <n v="23.2"/>
    <n v="7.37"/>
    <n v="24"/>
    <n v="2"/>
    <x v="0"/>
    <x v="0"/>
    <s v="Trent Boult"/>
    <s v="NewZealand"/>
    <x v="0"/>
  </r>
  <r>
    <x v="82"/>
    <s v="10-11-2023"/>
    <x v="4"/>
    <x v="7"/>
    <x v="0"/>
    <x v="0"/>
    <x v="5"/>
    <x v="1"/>
    <n v="244"/>
    <n v="10"/>
    <n v="50"/>
    <n v="4.88"/>
    <n v="26"/>
    <n v="9"/>
    <x v="0"/>
    <x v="3"/>
    <s v="Rassie van der Dussen"/>
    <s v="South Africa"/>
    <x v="1"/>
  </r>
  <r>
    <x v="83"/>
    <s v="10-11-2023"/>
    <x v="6"/>
    <x v="5"/>
    <x v="0"/>
    <x v="0"/>
    <x v="5"/>
    <x v="1"/>
    <n v="247"/>
    <n v="5"/>
    <n v="47.3"/>
    <n v="5.2"/>
    <n v="24"/>
    <n v="15"/>
    <x v="1"/>
    <x v="3"/>
    <s v="Rassie van der Dussen"/>
    <s v="South Africa"/>
    <x v="1"/>
  </r>
  <r>
    <x v="84"/>
    <s v="11-11-2023"/>
    <x v="8"/>
    <x v="4"/>
    <x v="7"/>
    <x v="6"/>
    <x v="4"/>
    <x v="0"/>
    <n v="306"/>
    <n v="8"/>
    <n v="50"/>
    <n v="6.12"/>
    <n v="39"/>
    <n v="24"/>
    <x v="1"/>
    <x v="7"/>
    <s v="Mitchell Marsh"/>
    <s v="Australia"/>
    <x v="5"/>
  </r>
  <r>
    <x v="85"/>
    <s v="11-11-2023"/>
    <x v="5"/>
    <x v="9"/>
    <x v="7"/>
    <x v="6"/>
    <x v="4"/>
    <x v="0"/>
    <n v="307"/>
    <n v="2"/>
    <n v="44.4"/>
    <n v="6.87"/>
    <n v="33"/>
    <n v="4"/>
    <x v="0"/>
    <x v="7"/>
    <s v="Mitchell Marsh"/>
    <s v="Australia"/>
    <x v="5"/>
  </r>
  <r>
    <x v="86"/>
    <s v="11-11-2023"/>
    <x v="0"/>
    <x v="3"/>
    <x v="1"/>
    <x v="9"/>
    <x v="7"/>
    <x v="1"/>
    <n v="244"/>
    <n v="10"/>
    <n v="50"/>
    <n v="6.74"/>
    <n v="33"/>
    <n v="19"/>
    <x v="1"/>
    <x v="5"/>
    <s v="David Willey"/>
    <s v="England"/>
    <x v="9"/>
  </r>
  <r>
    <x v="87"/>
    <s v="11-11-2023"/>
    <x v="2"/>
    <x v="1"/>
    <x v="1"/>
    <x v="9"/>
    <x v="7"/>
    <x v="1"/>
    <n v="337"/>
    <n v="9"/>
    <n v="43.3"/>
    <n v="5.6"/>
    <n v="43"/>
    <n v="6"/>
    <x v="0"/>
    <x v="5"/>
    <s v="David Willey"/>
    <s v="England"/>
    <x v="9"/>
  </r>
  <r>
    <x v="88"/>
    <s v="12-11-2023"/>
    <x v="9"/>
    <x v="2"/>
    <x v="8"/>
    <x v="7"/>
    <x v="6"/>
    <x v="1"/>
    <n v="410"/>
    <n v="4"/>
    <n v="50"/>
    <n v="8.1999999999999993"/>
    <n v="53"/>
    <n v="13"/>
    <x v="1"/>
    <x v="4"/>
    <s v="Shreyas Iyer"/>
    <s v="India"/>
    <x v="3"/>
  </r>
  <r>
    <x v="89"/>
    <s v="12-11-2023"/>
    <x v="3"/>
    <x v="8"/>
    <x v="8"/>
    <x v="7"/>
    <x v="6"/>
    <x v="1"/>
    <n v="250"/>
    <n v="10"/>
    <n v="47.5"/>
    <n v="5.22"/>
    <n v="28"/>
    <n v="15"/>
    <x v="0"/>
    <x v="4"/>
    <s v="Shreyas Iyer"/>
    <s v="India"/>
    <x v="3"/>
  </r>
  <r>
    <x v="90"/>
    <s v="15-11-2023"/>
    <x v="9"/>
    <x v="0"/>
    <x v="9"/>
    <x v="8"/>
    <x v="6"/>
    <x v="1"/>
    <n v="397"/>
    <n v="4"/>
    <n v="50"/>
    <n v="7.94"/>
    <n v="49"/>
    <n v="29"/>
    <x v="1"/>
    <x v="4"/>
    <s v="Mohammed Shami"/>
    <s v="India"/>
    <x v="3"/>
  </r>
  <r>
    <x v="91"/>
    <s v="15-11-2023"/>
    <x v="1"/>
    <x v="8"/>
    <x v="9"/>
    <x v="8"/>
    <x v="6"/>
    <x v="1"/>
    <n v="327"/>
    <n v="10"/>
    <n v="48.5"/>
    <n v="6.69"/>
    <n v="40"/>
    <n v="8"/>
    <x v="0"/>
    <x v="4"/>
    <s v="Mohammed Shami"/>
    <s v="India"/>
    <x v="3"/>
  </r>
  <r>
    <x v="92"/>
    <s v="16-11-2023"/>
    <x v="8"/>
    <x v="7"/>
    <x v="1"/>
    <x v="9"/>
    <x v="8"/>
    <x v="1"/>
    <n v="215"/>
    <n v="7"/>
    <n v="47.2"/>
    <n v="4.54"/>
    <n v="27"/>
    <n v="11"/>
    <x v="1"/>
    <x v="7"/>
    <s v="Travis Head"/>
    <s v="Australia"/>
    <x v="1"/>
  </r>
  <r>
    <x v="93"/>
    <s v="16-11-2023"/>
    <x v="6"/>
    <x v="9"/>
    <x v="1"/>
    <x v="9"/>
    <x v="8"/>
    <x v="1"/>
    <n v="212"/>
    <n v="10"/>
    <n v="49.4"/>
    <n v="4.26"/>
    <n v="24"/>
    <n v="17"/>
    <x v="0"/>
    <x v="7"/>
    <s v="Travis Head"/>
    <s v="Australia"/>
    <x v="1"/>
  </r>
  <r>
    <x v="94"/>
    <s v="19-11-2023"/>
    <x v="9"/>
    <x v="9"/>
    <x v="0"/>
    <x v="0"/>
    <x v="4"/>
    <x v="0"/>
    <n v="240"/>
    <n v="10"/>
    <n v="50"/>
    <n v="4.8"/>
    <n v="16"/>
    <n v="18"/>
    <x v="0"/>
    <x v="7"/>
    <s v="Travis Head"/>
    <s v="Australia"/>
    <x v="5"/>
  </r>
  <r>
    <x v="95"/>
    <s v="19-11-2023"/>
    <x v="8"/>
    <x v="8"/>
    <x v="0"/>
    <x v="0"/>
    <x v="4"/>
    <x v="0"/>
    <n v="241"/>
    <n v="4"/>
    <n v="43"/>
    <n v="5.6"/>
    <n v="27"/>
    <n v="12"/>
    <x v="1"/>
    <x v="7"/>
    <s v="Travis Head"/>
    <s v="Australia"/>
    <x v="5"/>
  </r>
  <r>
    <x v="96"/>
    <m/>
    <x v="10"/>
    <x v="10"/>
    <x v="10"/>
    <x v="10"/>
    <x v="10"/>
    <x v="2"/>
    <m/>
    <m/>
    <m/>
    <m/>
    <m/>
    <m/>
    <x v="2"/>
    <x v="10"/>
    <m/>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54E4A9-062A-4AA2-9596-8A2697E9208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oss Decision">
  <location ref="D18:E22" firstHeaderRow="1" firstDataRow="1" firstDataCol="1" rowPageCount="1" colPageCount="1"/>
  <pivotFields count="19">
    <pivotField dataField="1"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items count="12">
        <item x="4"/>
        <item x="8"/>
        <item x="5"/>
        <item x="0"/>
        <item x="9"/>
        <item x="3"/>
        <item x="1"/>
        <item x="2"/>
        <item x="6"/>
        <item x="7"/>
        <item x="10"/>
        <item t="default"/>
      </items>
    </pivotField>
    <pivotField showAll="0">
      <items count="12">
        <item h="1" x="5"/>
        <item h="1" x="9"/>
        <item h="1" x="4"/>
        <item h="1" x="1"/>
        <item h="1" x="8"/>
        <item x="2"/>
        <item h="1" x="0"/>
        <item h="1" x="3"/>
        <item h="1" x="7"/>
        <item h="1" x="6"/>
        <item h="1" x="10"/>
        <item t="default"/>
      </items>
    </pivotField>
    <pivotField showAll="0"/>
    <pivotField showAll="0"/>
    <pivotField showAll="0">
      <items count="12">
        <item x="5"/>
        <item x="4"/>
        <item x="2"/>
        <item x="7"/>
        <item x="6"/>
        <item x="1"/>
        <item x="0"/>
        <item x="9"/>
        <item x="8"/>
        <item x="3"/>
        <item x="10"/>
        <item t="default"/>
      </items>
    </pivotField>
    <pivotField axis="axisRow" showAll="0">
      <items count="4">
        <item x="1"/>
        <item x="0"/>
        <item x="2"/>
        <item t="default"/>
      </items>
    </pivotField>
    <pivotField showAll="0"/>
    <pivotField showAll="0"/>
    <pivotField showAll="0"/>
    <pivotField showAll="0"/>
    <pivotField showAll="0"/>
    <pivotField showAll="0"/>
    <pivotField axis="axisPage" showAll="0">
      <items count="4">
        <item x="0"/>
        <item x="1"/>
        <item x="2"/>
        <item t="default"/>
      </items>
    </pivotField>
    <pivotField showAll="0"/>
    <pivotField showAll="0"/>
    <pivotField showAll="0"/>
    <pivotField showAll="0">
      <items count="12">
        <item x="7"/>
        <item x="5"/>
        <item x="2"/>
        <item x="9"/>
        <item x="3"/>
        <item x="6"/>
        <item x="0"/>
        <item x="1"/>
        <item x="8"/>
        <item x="4"/>
        <item x="10"/>
        <item t="default"/>
      </items>
    </pivotField>
  </pivotFields>
  <rowFields count="1">
    <field x="7"/>
  </rowFields>
  <rowItems count="4">
    <i>
      <x/>
    </i>
    <i>
      <x v="1"/>
    </i>
    <i>
      <x v="2"/>
    </i>
    <i t="grand">
      <x/>
    </i>
  </rowItems>
  <colItems count="1">
    <i/>
  </colItems>
  <pageFields count="1">
    <pageField fld="14" hier="-1"/>
  </pageFields>
  <dataFields count="1">
    <dataField name="Matches" fld="0" subtotal="count" baseField="7" baseItem="0"/>
  </dataFields>
  <formats count="16">
    <format dxfId="1730">
      <pivotArea grandRow="1" outline="0" collapsedLevelsAreSubtotals="1" fieldPosition="0"/>
    </format>
    <format dxfId="1729">
      <pivotArea dataOnly="0" labelOnly="1" grandRow="1" outline="0" fieldPosition="0"/>
    </format>
    <format dxfId="1728">
      <pivotArea field="7" type="button" dataOnly="0" labelOnly="1" outline="0" axis="axisRow" fieldPosition="0"/>
    </format>
    <format dxfId="1727">
      <pivotArea dataOnly="0" labelOnly="1" outline="0" axis="axisValues" fieldPosition="0"/>
    </format>
    <format dxfId="1726">
      <pivotArea grandRow="1" outline="0" collapsedLevelsAreSubtotals="1" fieldPosition="0"/>
    </format>
    <format dxfId="1725">
      <pivotArea dataOnly="0" labelOnly="1" grandRow="1" outline="0" fieldPosition="0"/>
    </format>
    <format dxfId="1724">
      <pivotArea field="7" type="button" dataOnly="0" labelOnly="1" outline="0" axis="axisRow" fieldPosition="0"/>
    </format>
    <format dxfId="1723">
      <pivotArea dataOnly="0" labelOnly="1" outline="0" axis="axisValues" fieldPosition="0"/>
    </format>
    <format dxfId="1722">
      <pivotArea grandRow="1" outline="0" collapsedLevelsAreSubtotals="1" fieldPosition="0"/>
    </format>
    <format dxfId="1721">
      <pivotArea dataOnly="0" labelOnly="1" grandRow="1" outline="0" fieldPosition="0"/>
    </format>
    <format dxfId="1720">
      <pivotArea field="7" type="button" dataOnly="0" labelOnly="1" outline="0" axis="axisRow" fieldPosition="0"/>
    </format>
    <format dxfId="1719">
      <pivotArea dataOnly="0" labelOnly="1" outline="0" axis="axisValues" fieldPosition="0"/>
    </format>
    <format dxfId="1718">
      <pivotArea grandRow="1" outline="0" collapsedLevelsAreSubtotals="1" fieldPosition="0"/>
    </format>
    <format dxfId="1717">
      <pivotArea dataOnly="0" labelOnly="1" grandRow="1" outline="0" fieldPosition="0"/>
    </format>
    <format dxfId="1716">
      <pivotArea field="7" type="button" dataOnly="0" labelOnly="1" outline="0" axis="axisRow" fieldPosition="0"/>
    </format>
    <format dxfId="1715">
      <pivotArea dataOnly="0" labelOnly="1" outline="0" axis="axisValues"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7" count="1" selected="0">
            <x v="0"/>
          </reference>
        </references>
      </pivotArea>
    </chartFormat>
    <chartFormat chart="10" format="15">
      <pivotArea type="data" outline="0" fieldPosition="0">
        <references count="2">
          <reference field="4294967294" count="1" selected="0">
            <x v="0"/>
          </reference>
          <reference field="7" count="1" selected="0">
            <x v="1"/>
          </reference>
        </references>
      </pivotArea>
    </chartFormat>
    <chartFormat chart="10" format="16">
      <pivotArea type="data" outline="0" fieldPosition="0">
        <references count="2">
          <reference field="4294967294" count="1" selected="0">
            <x v="0"/>
          </reference>
          <reference field="7"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A2D9BC-AFD1-4BA5-8D87-869E95959B9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eams">
  <location ref="A17:B29" firstHeaderRow="1" firstDataRow="1" firstDataCol="1"/>
  <pivotFields count="19">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axis="axisRow" showAll="0">
      <items count="12">
        <item x="4"/>
        <item x="8"/>
        <item x="5"/>
        <item x="0"/>
        <item x="9"/>
        <item x="3"/>
        <item x="1"/>
        <item x="2"/>
        <item x="6"/>
        <item x="7"/>
        <item x="10"/>
        <item t="default"/>
      </items>
    </pivotField>
    <pivotField showAll="0">
      <items count="12">
        <item h="1" x="5"/>
        <item h="1" x="9"/>
        <item h="1" x="4"/>
        <item h="1" x="1"/>
        <item h="1" x="8"/>
        <item x="2"/>
        <item h="1" x="0"/>
        <item h="1" x="3"/>
        <item h="1" x="7"/>
        <item h="1" x="6"/>
        <item h="1" x="1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Total Boundaries" fld="12" baseField="2" baseItem="7"/>
  </dataFields>
  <formats count="16">
    <format dxfId="1746">
      <pivotArea field="2" type="button" dataOnly="0" labelOnly="1" outline="0" axis="axisRow" fieldPosition="0"/>
    </format>
    <format dxfId="1745">
      <pivotArea dataOnly="0" labelOnly="1" outline="0" axis="axisValues" fieldPosition="0"/>
    </format>
    <format dxfId="1744">
      <pivotArea grandRow="1" outline="0" collapsedLevelsAreSubtotals="1" fieldPosition="0"/>
    </format>
    <format dxfId="1743">
      <pivotArea dataOnly="0" labelOnly="1" grandRow="1" outline="0" fieldPosition="0"/>
    </format>
    <format dxfId="1742">
      <pivotArea field="2" type="button" dataOnly="0" labelOnly="1" outline="0" axis="axisRow" fieldPosition="0"/>
    </format>
    <format dxfId="1741">
      <pivotArea dataOnly="0" labelOnly="1" outline="0" axis="axisValues" fieldPosition="0"/>
    </format>
    <format dxfId="1740">
      <pivotArea grandRow="1" outline="0" collapsedLevelsAreSubtotals="1" fieldPosition="0"/>
    </format>
    <format dxfId="1739">
      <pivotArea dataOnly="0" labelOnly="1" grandRow="1" outline="0" fieldPosition="0"/>
    </format>
    <format dxfId="1738">
      <pivotArea field="2" type="button" dataOnly="0" labelOnly="1" outline="0" axis="axisRow" fieldPosition="0"/>
    </format>
    <format dxfId="1737">
      <pivotArea dataOnly="0" labelOnly="1" outline="0" axis="axisValues" fieldPosition="0"/>
    </format>
    <format dxfId="1736">
      <pivotArea grandRow="1" outline="0" collapsedLevelsAreSubtotals="1" fieldPosition="0"/>
    </format>
    <format dxfId="1735">
      <pivotArea dataOnly="0" labelOnly="1" grandRow="1" outline="0" fieldPosition="0"/>
    </format>
    <format dxfId="1734">
      <pivotArea field="2" type="button" dataOnly="0" labelOnly="1" outline="0" axis="axisRow" fieldPosition="0"/>
    </format>
    <format dxfId="1733">
      <pivotArea dataOnly="0" labelOnly="1" outline="0" axis="axisValues" fieldPosition="0"/>
    </format>
    <format dxfId="1732">
      <pivotArea grandRow="1" outline="0" collapsedLevelsAreSubtotals="1" fieldPosition="0"/>
    </format>
    <format dxfId="1731">
      <pivotArea dataOnly="0" labelOnly="1" grandRow="1" outline="0" fieldPosition="0"/>
    </format>
  </format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C6981-194B-4FC1-97A3-E50344C99D9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eams">
  <location ref="G3:K16" firstHeaderRow="1" firstDataRow="2" firstDataCol="1"/>
  <pivotFields count="19">
    <pivotField dataField="1"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axis="axisRow" showAll="0">
      <items count="12">
        <item x="4"/>
        <item x="8"/>
        <item x="5"/>
        <item x="0"/>
        <item x="9"/>
        <item x="3"/>
        <item x="1"/>
        <item x="2"/>
        <item x="6"/>
        <item x="7"/>
        <item x="10"/>
        <item t="default"/>
      </items>
    </pivotField>
    <pivotField showAll="0">
      <items count="12">
        <item h="1" x="5"/>
        <item h="1" x="9"/>
        <item h="1" x="4"/>
        <item h="1" x="1"/>
        <item h="1" x="8"/>
        <item x="2"/>
        <item h="1" x="0"/>
        <item h="1" x="3"/>
        <item h="1" x="7"/>
        <item h="1" x="6"/>
        <item h="1" x="10"/>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s>
  <rowFields count="1">
    <field x="2"/>
  </rowFields>
  <rowItems count="12">
    <i>
      <x/>
    </i>
    <i>
      <x v="1"/>
    </i>
    <i>
      <x v="2"/>
    </i>
    <i>
      <x v="3"/>
    </i>
    <i>
      <x v="4"/>
    </i>
    <i>
      <x v="5"/>
    </i>
    <i>
      <x v="6"/>
    </i>
    <i>
      <x v="7"/>
    </i>
    <i>
      <x v="8"/>
    </i>
    <i>
      <x v="9"/>
    </i>
    <i>
      <x v="10"/>
    </i>
    <i t="grand">
      <x/>
    </i>
  </rowItems>
  <colFields count="1">
    <field x="14"/>
  </colFields>
  <colItems count="4">
    <i>
      <x/>
    </i>
    <i>
      <x v="1"/>
    </i>
    <i>
      <x v="2"/>
    </i>
    <i t="grand">
      <x/>
    </i>
  </colItems>
  <dataFields count="1">
    <dataField name="Matches" fld="0" subtotal="count" baseField="0" baseItem="0"/>
  </dataFields>
  <formats count="24">
    <format dxfId="1770">
      <pivotArea type="origin" dataOnly="0" labelOnly="1" outline="0" fieldPosition="0"/>
    </format>
    <format dxfId="1769">
      <pivotArea field="14" type="button" dataOnly="0" labelOnly="1" outline="0" axis="axisCol" fieldPosition="0"/>
    </format>
    <format dxfId="1768">
      <pivotArea type="topRight" dataOnly="0" labelOnly="1" outline="0" fieldPosition="0"/>
    </format>
    <format dxfId="1767">
      <pivotArea field="2" type="button" dataOnly="0" labelOnly="1" outline="0" axis="axisRow" fieldPosition="0"/>
    </format>
    <format dxfId="1766">
      <pivotArea dataOnly="0" labelOnly="1" fieldPosition="0">
        <references count="1">
          <reference field="14" count="0"/>
        </references>
      </pivotArea>
    </format>
    <format dxfId="1765">
      <pivotArea dataOnly="0" labelOnly="1" grandCol="1" outline="0" fieldPosition="0"/>
    </format>
    <format dxfId="1764">
      <pivotArea type="origin" dataOnly="0" labelOnly="1" outline="0" fieldPosition="0"/>
    </format>
    <format dxfId="1763">
      <pivotArea field="14" type="button" dataOnly="0" labelOnly="1" outline="0" axis="axisCol" fieldPosition="0"/>
    </format>
    <format dxfId="1762">
      <pivotArea type="topRight" dataOnly="0" labelOnly="1" outline="0" fieldPosition="0"/>
    </format>
    <format dxfId="1761">
      <pivotArea field="2" type="button" dataOnly="0" labelOnly="1" outline="0" axis="axisRow" fieldPosition="0"/>
    </format>
    <format dxfId="1760">
      <pivotArea dataOnly="0" labelOnly="1" fieldPosition="0">
        <references count="1">
          <reference field="14" count="0"/>
        </references>
      </pivotArea>
    </format>
    <format dxfId="1759">
      <pivotArea dataOnly="0" labelOnly="1" grandCol="1" outline="0" fieldPosition="0"/>
    </format>
    <format dxfId="1758">
      <pivotArea type="origin" dataOnly="0" labelOnly="1" outline="0" fieldPosition="0"/>
    </format>
    <format dxfId="1757">
      <pivotArea field="14" type="button" dataOnly="0" labelOnly="1" outline="0" axis="axisCol" fieldPosition="0"/>
    </format>
    <format dxfId="1756">
      <pivotArea type="topRight" dataOnly="0" labelOnly="1" outline="0" fieldPosition="0"/>
    </format>
    <format dxfId="1755">
      <pivotArea field="2" type="button" dataOnly="0" labelOnly="1" outline="0" axis="axisRow" fieldPosition="0"/>
    </format>
    <format dxfId="1754">
      <pivotArea dataOnly="0" labelOnly="1" fieldPosition="0">
        <references count="1">
          <reference field="14" count="0"/>
        </references>
      </pivotArea>
    </format>
    <format dxfId="1753">
      <pivotArea dataOnly="0" labelOnly="1" grandCol="1" outline="0" fieldPosition="0"/>
    </format>
    <format dxfId="1752">
      <pivotArea grandRow="1" outline="0" collapsedLevelsAreSubtotals="1" fieldPosition="0"/>
    </format>
    <format dxfId="1751">
      <pivotArea dataOnly="0" labelOnly="1" grandRow="1" outline="0" fieldPosition="0"/>
    </format>
    <format dxfId="1750">
      <pivotArea grandRow="1" outline="0" collapsedLevelsAreSubtotals="1" fieldPosition="0"/>
    </format>
    <format dxfId="1749">
      <pivotArea dataOnly="0" labelOnly="1" grandRow="1" outline="0" fieldPosition="0"/>
    </format>
    <format dxfId="1748">
      <pivotArea grandRow="1" outline="0" collapsedLevelsAreSubtotals="1" fieldPosition="0"/>
    </format>
    <format dxfId="1747">
      <pivotArea dataOnly="0" labelOnly="1" grandRow="1" outline="0" fieldPosition="0"/>
    </format>
  </formats>
  <chartFormats count="8">
    <chartFormat chart="5" format="6" series="1">
      <pivotArea type="data" outline="0" fieldPosition="0">
        <references count="2">
          <reference field="4294967294" count="1" selected="0">
            <x v="0"/>
          </reference>
          <reference field="14" count="1" selected="0">
            <x v="0"/>
          </reference>
        </references>
      </pivotArea>
    </chartFormat>
    <chartFormat chart="5"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2"/>
          </reference>
        </references>
      </pivotArea>
    </chartFormat>
    <chartFormat chart="10" format="12" series="1">
      <pivotArea type="data" outline="0" fieldPosition="0">
        <references count="2">
          <reference field="4294967294" count="1" selected="0">
            <x v="0"/>
          </reference>
          <reference field="14" count="1" selected="0">
            <x v="0"/>
          </reference>
        </references>
      </pivotArea>
    </chartFormat>
    <chartFormat chart="10" format="13" series="1">
      <pivotArea type="data" outline="0" fieldPosition="0">
        <references count="2">
          <reference field="4294967294" count="1" selected="0">
            <x v="0"/>
          </reference>
          <reference field="14" count="1" selected="0">
            <x v="1"/>
          </reference>
        </references>
      </pivotArea>
    </chartFormat>
    <chartFormat chart="10" format="14" series="1">
      <pivotArea type="data" outline="0" fieldPosition="0">
        <references count="2">
          <reference field="4294967294" count="1" selected="0">
            <x v="0"/>
          </reference>
          <reference field="14" count="1" selected="0">
            <x v="2"/>
          </reference>
        </references>
      </pivotArea>
    </chartFormat>
    <chartFormat chart="10" format="15"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44523D-19CA-4821-B4AE-41123FC4D22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s">
  <location ref="M3:O15" firstHeaderRow="0" firstDataRow="1" firstDataCol="1"/>
  <pivotFields count="19">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axis="axisRow" showAll="0">
      <items count="12">
        <item x="4"/>
        <item x="8"/>
        <item x="5"/>
        <item x="0"/>
        <item x="9"/>
        <item x="3"/>
        <item x="1"/>
        <item x="2"/>
        <item x="6"/>
        <item x="7"/>
        <item x="10"/>
        <item t="default"/>
      </items>
    </pivotField>
    <pivotField showAll="0">
      <items count="12">
        <item h="1" x="5"/>
        <item h="1" x="9"/>
        <item h="1" x="4"/>
        <item h="1" x="1"/>
        <item h="1" x="8"/>
        <item x="2"/>
        <item h="1" x="0"/>
        <item h="1" x="3"/>
        <item h="1" x="7"/>
        <item h="1" x="6"/>
        <item h="1" x="10"/>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Average  Runs" fld="8" subtotal="average" baseField="2" baseItem="0" numFmtId="2"/>
    <dataField name="Average of Run Rate" fld="11" subtotal="average" baseField="2" baseItem="0"/>
  </dataFields>
  <formats count="11">
    <format dxfId="1781">
      <pivotArea outline="0" collapsedLevelsAreSubtotals="1" fieldPosition="0"/>
    </format>
    <format dxfId="1780">
      <pivotArea dataOnly="0" labelOnly="1" outline="0" axis="axisValues" fieldPosition="0"/>
    </format>
    <format dxfId="1779">
      <pivotArea field="2" type="button" dataOnly="0" labelOnly="1" outline="0" axis="axisRow" fieldPosition="0"/>
    </format>
    <format dxfId="1778">
      <pivotArea dataOnly="0" labelOnly="1" outline="0" fieldPosition="0">
        <references count="1">
          <reference field="4294967294" count="2">
            <x v="0"/>
            <x v="1"/>
          </reference>
        </references>
      </pivotArea>
    </format>
    <format dxfId="1777">
      <pivotArea field="2" type="button" dataOnly="0" labelOnly="1" outline="0" axis="axisRow" fieldPosition="0"/>
    </format>
    <format dxfId="1776">
      <pivotArea dataOnly="0" labelOnly="1" outline="0" fieldPosition="0">
        <references count="1">
          <reference field="4294967294" count="2">
            <x v="0"/>
            <x v="1"/>
          </reference>
        </references>
      </pivotArea>
    </format>
    <format dxfId="1775">
      <pivotArea field="2" type="button" dataOnly="0" labelOnly="1" outline="0" axis="axisRow" fieldPosition="0"/>
    </format>
    <format dxfId="1774">
      <pivotArea dataOnly="0" labelOnly="1" outline="0" fieldPosition="0">
        <references count="1">
          <reference field="4294967294" count="2">
            <x v="0"/>
            <x v="1"/>
          </reference>
        </references>
      </pivotArea>
    </format>
    <format dxfId="1773">
      <pivotArea dataOnly="0" grandRow="1" axis="axisRow" fieldPosition="0"/>
    </format>
    <format dxfId="1772">
      <pivotArea dataOnly="0" grandRow="1" axis="axisRow" fieldPosition="0"/>
    </format>
    <format dxfId="1771">
      <pivotArea dataOnly="0" grandRow="1" axis="axisRow" fieldPosition="0"/>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3F83E7-262A-43FB-A8B0-5994B5DE7663}"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Venue">
  <location ref="D3:E15" firstHeaderRow="1" firstDataRow="1" firstDataCol="1"/>
  <pivotFields count="19">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items count="12">
        <item x="4"/>
        <item x="8"/>
        <item x="5"/>
        <item x="0"/>
        <item x="9"/>
        <item x="3"/>
        <item x="1"/>
        <item x="2"/>
        <item x="6"/>
        <item x="7"/>
        <item x="10"/>
        <item t="default"/>
      </items>
    </pivotField>
    <pivotField showAll="0">
      <items count="12">
        <item h="1" x="5"/>
        <item h="1" x="9"/>
        <item h="1" x="4"/>
        <item h="1" x="1"/>
        <item h="1" x="8"/>
        <item x="2"/>
        <item h="1" x="0"/>
        <item h="1" x="3"/>
        <item h="1" x="7"/>
        <item h="1" x="6"/>
        <item h="1" x="10"/>
        <item t="default"/>
      </items>
    </pivotField>
    <pivotField axis="axisRow" showAll="0">
      <items count="12">
        <item x="3"/>
        <item x="6"/>
        <item x="1"/>
        <item x="2"/>
        <item x="4"/>
        <item x="8"/>
        <item x="7"/>
        <item x="0"/>
        <item x="5"/>
        <item x="9"/>
        <item x="10"/>
        <item t="default"/>
      </items>
    </pivotField>
    <pivotField showAll="0">
      <items count="12">
        <item x="0"/>
        <item x="7"/>
        <item x="4"/>
        <item x="3"/>
        <item x="2"/>
        <item x="1"/>
        <item x="9"/>
        <item x="5"/>
        <item x="8"/>
        <item x="6"/>
        <item x="1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12">
    <i>
      <x/>
    </i>
    <i>
      <x v="1"/>
    </i>
    <i>
      <x v="2"/>
    </i>
    <i>
      <x v="3"/>
    </i>
    <i>
      <x v="4"/>
    </i>
    <i>
      <x v="5"/>
    </i>
    <i>
      <x v="6"/>
    </i>
    <i>
      <x v="7"/>
    </i>
    <i>
      <x v="8"/>
    </i>
    <i>
      <x v="9"/>
    </i>
    <i>
      <x v="10"/>
    </i>
    <i t="grand">
      <x/>
    </i>
  </rowItems>
  <colItems count="1">
    <i/>
  </colItems>
  <dataFields count="1">
    <dataField name="Average  Runs" fld="8" subtotal="average" baseField="4" baseItem="0"/>
  </dataFields>
  <formats count="12">
    <format dxfId="1793">
      <pivotArea field="4" type="button" dataOnly="0" labelOnly="1" outline="0" axis="axisRow" fieldPosition="0"/>
    </format>
    <format dxfId="1792">
      <pivotArea dataOnly="0" labelOnly="1" outline="0" axis="axisValues" fieldPosition="0"/>
    </format>
    <format dxfId="1791">
      <pivotArea field="4" type="button" dataOnly="0" labelOnly="1" outline="0" axis="axisRow" fieldPosition="0"/>
    </format>
    <format dxfId="1790">
      <pivotArea dataOnly="0" labelOnly="1" outline="0" axis="axisValues" fieldPosition="0"/>
    </format>
    <format dxfId="1789">
      <pivotArea field="4" type="button" dataOnly="0" labelOnly="1" outline="0" axis="axisRow" fieldPosition="0"/>
    </format>
    <format dxfId="1788">
      <pivotArea dataOnly="0" labelOnly="1" outline="0" axis="axisValues" fieldPosition="0"/>
    </format>
    <format dxfId="1787">
      <pivotArea grandRow="1" outline="0" collapsedLevelsAreSubtotals="1" fieldPosition="0"/>
    </format>
    <format dxfId="1786">
      <pivotArea dataOnly="0" labelOnly="1" grandRow="1" outline="0" fieldPosition="0"/>
    </format>
    <format dxfId="1785">
      <pivotArea grandRow="1" outline="0" collapsedLevelsAreSubtotals="1" fieldPosition="0"/>
    </format>
    <format dxfId="1784">
      <pivotArea dataOnly="0" labelOnly="1" grandRow="1" outline="0" fieldPosition="0"/>
    </format>
    <format dxfId="1783">
      <pivotArea grandRow="1" outline="0" collapsedLevelsAreSubtotals="1" fieldPosition="0"/>
    </format>
    <format dxfId="1782">
      <pivotArea dataOnly="0" labelOnly="1" grandRow="1" outline="0" fieldPosition="0"/>
    </format>
  </formats>
  <chartFormats count="2">
    <chartFormat chart="10"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694937-1695-4B2A-8E61-D653626FFE0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eams">
  <location ref="A3:B15" firstHeaderRow="1" firstDataRow="1" firstDataCol="1"/>
  <pivotFields count="19">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axis="axisRow" showAll="0">
      <items count="12">
        <item x="4"/>
        <item x="8"/>
        <item x="5"/>
        <item x="0"/>
        <item x="9"/>
        <item x="3"/>
        <item x="1"/>
        <item x="2"/>
        <item x="6"/>
        <item x="7"/>
        <item x="10"/>
        <item t="default"/>
      </items>
    </pivotField>
    <pivotField showAll="0">
      <items count="12">
        <item h="1" x="5"/>
        <item h="1" x="9"/>
        <item h="1" x="4"/>
        <item h="1" x="1"/>
        <item h="1" x="8"/>
        <item x="2"/>
        <item h="1" x="0"/>
        <item h="1" x="3"/>
        <item h="1" x="7"/>
        <item h="1" x="6"/>
        <item h="1" x="1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Total Runs" fld="8" baseField="0" baseItem="0"/>
  </dataFields>
  <formats count="9">
    <format dxfId="1802">
      <pivotArea field="2" type="button" dataOnly="0" labelOnly="1" outline="0" axis="axisRow" fieldPosition="0"/>
    </format>
    <format dxfId="1801">
      <pivotArea dataOnly="0" labelOnly="1" outline="0" axis="axisValues" fieldPosition="0"/>
    </format>
    <format dxfId="1800">
      <pivotArea field="2" type="button" dataOnly="0" labelOnly="1" outline="0" axis="axisRow" fieldPosition="0"/>
    </format>
    <format dxfId="1799">
      <pivotArea dataOnly="0" labelOnly="1" outline="0" axis="axisValues" fieldPosition="0"/>
    </format>
    <format dxfId="1798">
      <pivotArea field="2" type="button" dataOnly="0" labelOnly="1" outline="0" axis="axisRow" fieldPosition="0"/>
    </format>
    <format dxfId="1797">
      <pivotArea dataOnly="0" labelOnly="1" outline="0" axis="axisValues" fieldPosition="0"/>
    </format>
    <format dxfId="1796">
      <pivotArea dataOnly="0" grandRow="1" fieldPosition="0"/>
    </format>
    <format dxfId="1795">
      <pivotArea dataOnly="0" grandRow="1" fieldPosition="0"/>
    </format>
    <format dxfId="1794">
      <pivotArea dataOnly="0" grandRow="1" fieldPosition="0"/>
    </format>
  </formats>
  <chartFormats count="13">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 chart="3" format="16">
      <pivotArea type="data" outline="0" fieldPosition="0">
        <references count="2">
          <reference field="4294967294" count="1" selected="0">
            <x v="0"/>
          </reference>
          <reference field="2" count="1" selected="0">
            <x v="2"/>
          </reference>
        </references>
      </pivotArea>
    </chartFormat>
    <chartFormat chart="3" format="17">
      <pivotArea type="data" outline="0" fieldPosition="0">
        <references count="2">
          <reference field="4294967294" count="1" selected="0">
            <x v="0"/>
          </reference>
          <reference field="2" count="1" selected="0">
            <x v="3"/>
          </reference>
        </references>
      </pivotArea>
    </chartFormat>
    <chartFormat chart="3" format="18">
      <pivotArea type="data" outline="0" fieldPosition="0">
        <references count="2">
          <reference field="4294967294" count="1" selected="0">
            <x v="0"/>
          </reference>
          <reference field="2" count="1" selected="0">
            <x v="4"/>
          </reference>
        </references>
      </pivotArea>
    </chartFormat>
    <chartFormat chart="3" format="19">
      <pivotArea type="data" outline="0" fieldPosition="0">
        <references count="2">
          <reference field="4294967294" count="1" selected="0">
            <x v="0"/>
          </reference>
          <reference field="2" count="1" selected="0">
            <x v="5"/>
          </reference>
        </references>
      </pivotArea>
    </chartFormat>
    <chartFormat chart="3" format="20">
      <pivotArea type="data" outline="0" fieldPosition="0">
        <references count="2">
          <reference field="4294967294" count="1" selected="0">
            <x v="0"/>
          </reference>
          <reference field="2" count="1" selected="0">
            <x v="6"/>
          </reference>
        </references>
      </pivotArea>
    </chartFormat>
    <chartFormat chart="3" format="21">
      <pivotArea type="data" outline="0" fieldPosition="0">
        <references count="2">
          <reference field="4294967294" count="1" selected="0">
            <x v="0"/>
          </reference>
          <reference field="2" count="1" selected="0">
            <x v="7"/>
          </reference>
        </references>
      </pivotArea>
    </chartFormat>
    <chartFormat chart="3" format="22">
      <pivotArea type="data" outline="0" fieldPosition="0">
        <references count="2">
          <reference field="4294967294" count="1" selected="0">
            <x v="0"/>
          </reference>
          <reference field="2" count="1" selected="0">
            <x v="8"/>
          </reference>
        </references>
      </pivotArea>
    </chartFormat>
    <chartFormat chart="3" format="23">
      <pivotArea type="data" outline="0" fieldPosition="0">
        <references count="2">
          <reference field="4294967294" count="1" selected="0">
            <x v="0"/>
          </reference>
          <reference field="2" count="1" selected="0">
            <x v="9"/>
          </reference>
        </references>
      </pivotArea>
    </chartFormat>
    <chartFormat chart="3" format="24">
      <pivotArea type="data" outline="0" fieldPosition="0">
        <references count="2">
          <reference field="4294967294" count="1" selected="0">
            <x v="0"/>
          </reference>
          <reference field="2" count="1" selected="0">
            <x v="10"/>
          </reference>
        </references>
      </pivotArea>
    </chartFormat>
    <chartFormat chart="12" format="49"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C42D81C2-9651-4F72-83EE-4748CB6584AB}" sourceName="Team">
  <pivotTables>
    <pivotTable tabId="18" name="PivotTable2"/>
    <pivotTable tabId="18" name="PivotTable3"/>
    <pivotTable tabId="18" name="PivotTable5"/>
    <pivotTable tabId="18" name="PivotTable6"/>
    <pivotTable tabId="18" name="PivotTable7"/>
    <pivotTable tabId="18" name="PivotTable8"/>
  </pivotTables>
  <data>
    <tabular pivotCacheId="683727603">
      <items count="11">
        <i x="4" s="1"/>
        <i x="8" s="1"/>
        <i x="5" s="1"/>
        <i x="0" s="1"/>
        <i x="9" s="1"/>
        <i x="3" s="1"/>
        <i x="1" s="1"/>
        <i x="2" s="1"/>
        <i x="6" s="1"/>
        <i x="7"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ID" xr10:uid="{30BE9F06-3A84-46FD-BB54-BC5F51114683}" sourceName="Match ID">
  <pivotTables>
    <pivotTable tabId="18" name="PivotTable2"/>
    <pivotTable tabId="18" name="PivotTable3"/>
    <pivotTable tabId="18" name="PivotTable5"/>
    <pivotTable tabId="18" name="PivotTable6"/>
    <pivotTable tabId="18" name="PivotTable7"/>
    <pivotTable tabId="18" name="PivotTable8"/>
  </pivotTables>
  <data>
    <tabular pivotCacheId="683727603">
      <items count="9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E0C3CC7A-FEA3-47EF-BEF6-AAAC306644AA}" cache="Slicer_Team" caption="Team" style="SlicerStyleDark5" rowHeight="241300"/>
  <slicer name="Match ID" xr10:uid="{64592B51-C2FA-4F03-AC06-5FA0126ADEC5}" cache="Slicer_Match_ID" caption="Match ID"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AT49" totalsRowShown="0" headerRowDxfId="1878">
  <autoFilter ref="A1:AT49" xr:uid="{00000000-0009-0000-0100-000002000000}"/>
  <tableColumns count="46">
    <tableColumn id="1" xr3:uid="{00000000-0010-0000-0000-000001000000}" name="Match ID" dataDxfId="1877"/>
    <tableColumn id="2" xr3:uid="{00000000-0010-0000-0000-000002000000}" name="Match Date" dataDxfId="1876"/>
    <tableColumn id="3" xr3:uid="{00000000-0010-0000-0000-000003000000}" name="Match Time" dataDxfId="1875"/>
    <tableColumn id="4" xr3:uid="{00000000-0010-0000-0000-000004000000}" name="City" dataDxfId="1874"/>
    <tableColumn id="5" xr3:uid="{00000000-0010-0000-0000-000005000000}" name="Stadium" dataDxfId="1873"/>
    <tableColumn id="6" xr3:uid="{00000000-0010-0000-0000-000006000000}" name="Team A" dataDxfId="1872"/>
    <tableColumn id="7" xr3:uid="{00000000-0010-0000-0000-000007000000}" name="Team B" dataDxfId="1871"/>
    <tableColumn id="8" xr3:uid="{00000000-0010-0000-0000-000008000000}" name="Toss Winner" dataDxfId="1870"/>
    <tableColumn id="9" xr3:uid="{00000000-0010-0000-0000-000009000000}" name="Toss Decision" dataDxfId="1869"/>
    <tableColumn id="10" xr3:uid="{00000000-0010-0000-0000-00000A000000}" name="Score A" dataDxfId="1868"/>
    <tableColumn id="11" xr3:uid="{00000000-0010-0000-0000-00000B000000}" name="Wickets A" dataDxfId="1867"/>
    <tableColumn id="12" xr3:uid="{00000000-0010-0000-0000-00000C000000}" name="Overs Played A" dataDxfId="1866"/>
    <tableColumn id="13" xr3:uid="{00000000-0010-0000-0000-00000D000000}" name="Maiden Overs A" dataDxfId="1865"/>
    <tableColumn id="14" xr3:uid="{00000000-0010-0000-0000-00000E000000}" name="4s A" dataDxfId="1864"/>
    <tableColumn id="15" xr3:uid="{00000000-0010-0000-0000-00000F000000}" name="6s A" dataDxfId="1863"/>
    <tableColumn id="16" xr3:uid="{00000000-0010-0000-0000-000010000000}" name="Boundaries A" dataDxfId="1862"/>
    <tableColumn id="17" xr3:uid="{00000000-0010-0000-0000-000011000000}" name="Runrate A" dataDxfId="1861"/>
    <tableColumn id="18" xr3:uid="{00000000-0010-0000-0000-000012000000}" name="Leg Byes A" dataDxfId="1860"/>
    <tableColumn id="19" xr3:uid="{00000000-0010-0000-0000-000013000000}" name="Byes A" dataDxfId="1859"/>
    <tableColumn id="20" xr3:uid="{00000000-0010-0000-0000-000014000000}" name="Wides A" dataDxfId="1858"/>
    <tableColumn id="21" xr3:uid="{00000000-0010-0000-0000-000015000000}" name="No Balls A" dataDxfId="1857"/>
    <tableColumn id="22" xr3:uid="{00000000-0010-0000-0000-000016000000}" name="Penalty A" dataDxfId="1856"/>
    <tableColumn id="23" xr3:uid="{00000000-0010-0000-0000-000017000000}" name="Extras A" dataDxfId="1855"/>
    <tableColumn id="24" xr3:uid="{00000000-0010-0000-0000-000018000000}" name="Score B" dataDxfId="1854"/>
    <tableColumn id="25" xr3:uid="{00000000-0010-0000-0000-000019000000}" name="Wickets B" dataDxfId="1853"/>
    <tableColumn id="26" xr3:uid="{00000000-0010-0000-0000-00001A000000}" name="Overs Played B" dataDxfId="1852"/>
    <tableColumn id="27" xr3:uid="{00000000-0010-0000-0000-00001B000000}" name="Maiden Overs B" dataDxfId="1851"/>
    <tableColumn id="28" xr3:uid="{00000000-0010-0000-0000-00001C000000}" name="4s B" dataDxfId="1850"/>
    <tableColumn id="29" xr3:uid="{00000000-0010-0000-0000-00001D000000}" name="6s B" dataDxfId="1849"/>
    <tableColumn id="30" xr3:uid="{00000000-0010-0000-0000-00001E000000}" name="Boundaries B" dataDxfId="1848"/>
    <tableColumn id="31" xr3:uid="{00000000-0010-0000-0000-00001F000000}" name="Runrate B" dataDxfId="1847"/>
    <tableColumn id="32" xr3:uid="{00000000-0010-0000-0000-000020000000}" name="Leg Byes B" dataDxfId="1846"/>
    <tableColumn id="33" xr3:uid="{00000000-0010-0000-0000-000021000000}" name="Byes B" dataDxfId="1845"/>
    <tableColumn id="34" xr3:uid="{00000000-0010-0000-0000-000022000000}" name="Wides B" dataDxfId="1844"/>
    <tableColumn id="35" xr3:uid="{00000000-0010-0000-0000-000023000000}" name="No Balls B" dataDxfId="1843"/>
    <tableColumn id="36" xr3:uid="{00000000-0010-0000-0000-000024000000}" name="Penalty B" dataDxfId="1842"/>
    <tableColumn id="37" xr3:uid="{00000000-0010-0000-0000-000025000000}" name="Extras B" dataDxfId="1841"/>
    <tableColumn id="38" xr3:uid="{00000000-0010-0000-0000-000026000000}" name="Wining Team" dataDxfId="1840"/>
    <tableColumn id="46" xr3:uid="{00000000-0010-0000-0000-00002E000000}" name="Losing team" dataDxfId="1839">
      <calculatedColumnFormula>IF(AL2=F2,G2,F2)</calculatedColumnFormula>
    </tableColumn>
    <tableColumn id="39" xr3:uid="{00000000-0010-0000-0000-000027000000}" name="Margin" dataDxfId="1838"/>
    <tableColumn id="40" xr3:uid="{00000000-0010-0000-0000-000028000000}" name="Man of the Match" dataDxfId="1837"/>
    <tableColumn id="41" xr3:uid="{00000000-0010-0000-0000-000029000000}" name="Umpire 1" dataDxfId="1836"/>
    <tableColumn id="42" xr3:uid="{00000000-0010-0000-0000-00002A000000}" name="Umpire 2" dataDxfId="1835"/>
    <tableColumn id="43" xr3:uid="{00000000-0010-0000-0000-00002B000000}" name="TV Umpire" dataDxfId="1834"/>
    <tableColumn id="44" xr3:uid="{00000000-0010-0000-0000-00002C000000}" name="Match Refree" dataDxfId="1833"/>
    <tableColumn id="45" xr3:uid="{00000000-0010-0000-0000-00002D000000}" name="Toss and Match Winner " dataDxfId="1832">
      <calculatedColumnFormula>IF(AL2=H2,"yes","No")</calculatedColumnFormula>
    </tableColumn>
  </tableColumns>
  <tableStyleInfo name="TableStyleMedium2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ivotReady" displayName="PivotReady" ref="A1:S97">
  <autoFilter ref="A1:S97" xr:uid="{00000000-0009-0000-0100-000001000000}"/>
  <tableColumns count="19">
    <tableColumn id="1" xr3:uid="{00000000-0010-0000-0100-000001000000}" name="Match ID" dataDxfId="1831"/>
    <tableColumn id="2" xr3:uid="{00000000-0010-0000-0100-000002000000}" name="Match Date" dataDxfId="1830"/>
    <tableColumn id="3" xr3:uid="{00000000-0010-0000-0100-000003000000}" name="Team" dataDxfId="1829"/>
    <tableColumn id="4" xr3:uid="{00000000-0010-0000-0100-000004000000}" name="Opponent" dataDxfId="1828"/>
    <tableColumn id="5" xr3:uid="{00000000-0010-0000-0100-000005000000}" name="Venue" dataDxfId="1827"/>
    <tableColumn id="6" xr3:uid="{00000000-0010-0000-0100-000006000000}" name="City" dataDxfId="1826"/>
    <tableColumn id="7" xr3:uid="{00000000-0010-0000-0100-000007000000}" name="Toss Winner" dataDxfId="1825"/>
    <tableColumn id="8" xr3:uid="{00000000-0010-0000-0100-000008000000}" name="Toss Decision" dataDxfId="1824"/>
    <tableColumn id="9" xr3:uid="{00000000-0010-0000-0100-000009000000}" name="Runs" dataDxfId="1823"/>
    <tableColumn id="10" xr3:uid="{00000000-0010-0000-0100-00000A000000}" name="Wickets Lost" dataDxfId="1822"/>
    <tableColumn id="11" xr3:uid="{00000000-0010-0000-0100-00000B000000}" name="Overs" dataDxfId="1821"/>
    <tableColumn id="12" xr3:uid="{00000000-0010-0000-0100-00000C000000}" name="Run Rate" dataDxfId="1820"/>
    <tableColumn id="13" xr3:uid="{00000000-0010-0000-0100-00000D000000}" name="Boundaries" dataDxfId="1819"/>
    <tableColumn id="14" xr3:uid="{00000000-0010-0000-0100-00000E000000}" name="Extras" dataDxfId="1818"/>
    <tableColumn id="15" xr3:uid="{00000000-0010-0000-0100-00000F000000}" name="Result" dataDxfId="1817"/>
    <tableColumn id="19" xr3:uid="{00000000-0010-0000-0100-000013000000}" name="Match Winner" dataDxfId="1816">
      <calculatedColumnFormula>IF(O2="Win",C2,D2)</calculatedColumnFormula>
    </tableColumn>
    <tableColumn id="16" xr3:uid="{00000000-0010-0000-0100-000010000000}" name="Man of the Match" dataDxfId="1815"/>
    <tableColumn id="18" xr3:uid="{00000000-0010-0000-0100-000012000000}" name="MOM Country" dataDxfId="1814"/>
    <tableColumn id="17" xr3:uid="{00000000-0010-0000-0100-000011000000}" name="Toss and Match Winner" dataDxfId="1813">
      <calculatedColumnFormula>IF(G2=P2,G2,"No")</calculatedColumnFormula>
    </tableColumn>
  </tableColumns>
  <tableStyleInfo name="TableStylePreset8_Accent1"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tats" displayName="TeamStats" ref="A1:J11">
  <autoFilter ref="A1:J11" xr:uid="{00000000-0009-0000-0100-000003000000}"/>
  <tableColumns count="10">
    <tableColumn id="1" xr3:uid="{00000000-0010-0000-0200-000001000000}" name="Team" dataDxfId="1812"/>
    <tableColumn id="2" xr3:uid="{00000000-0010-0000-0200-000002000000}" name="Matches" dataDxfId="1811">
      <calculatedColumnFormula>COUNTIF('Table A'!$F$2:$G$49,A2)</calculatedColumnFormula>
    </tableColumn>
    <tableColumn id="3" xr3:uid="{00000000-0010-0000-0200-000003000000}" name="Wins" dataDxfId="1810">
      <calculatedColumnFormula>COUNTIF('Table A'!$AL$2:$AL$49,A2)</calculatedColumnFormula>
    </tableColumn>
    <tableColumn id="4" xr3:uid="{00000000-0010-0000-0200-000004000000}" name="Losses" dataDxfId="1809">
      <calculatedColumnFormula>B2-C2</calculatedColumnFormula>
    </tableColumn>
    <tableColumn id="5" xr3:uid="{00000000-0010-0000-0200-000005000000}" name="Win %" dataDxfId="1808">
      <calculatedColumnFormula>C2/B2</calculatedColumnFormula>
    </tableColumn>
    <tableColumn id="6" xr3:uid="{00000000-0010-0000-0200-000006000000}" name="Runs Scored" dataDxfId="1807">
      <calculatedColumnFormula>SUMIF('Pivot Data'!C:C,A2,'Pivot Data'!I:I)</calculatedColumnFormula>
    </tableColumn>
    <tableColumn id="7" xr3:uid="{00000000-0010-0000-0200-000007000000}" name="Avg Runs" dataDxfId="1806">
      <calculatedColumnFormula>F2/B2</calculatedColumnFormula>
    </tableColumn>
    <tableColumn id="8" xr3:uid="{00000000-0010-0000-0200-000008000000}" name="Boundaries" dataDxfId="1805">
      <calculatedColumnFormula>SUMIF('Pivot Data'!C:C,A2,'Pivot Data'!M:M)</calculatedColumnFormula>
    </tableColumn>
    <tableColumn id="10" xr3:uid="{00000000-0010-0000-0200-00000A000000}" name="Toss Wins" dataDxfId="1804">
      <calculatedColumnFormula>COUNTIF('Table A'!H2:H49,A2)</calculatedColumnFormula>
    </tableColumn>
    <tableColumn id="11" xr3:uid="{00000000-0010-0000-0200-00000B000000}" name="Toss Win %" dataDxfId="1803">
      <calculatedColumnFormula>I2/B2</calculatedColumnFormula>
    </tableColumn>
  </tableColumns>
  <tableStyleInfo name="TableStylePreset11_Accent1" showFirstColumn="1"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9"/>
  <sheetViews>
    <sheetView workbookViewId="0"/>
  </sheetViews>
  <sheetFormatPr defaultColWidth="10.28515625" defaultRowHeight="15"/>
  <cols>
    <col min="1" max="1" width="9.28515625" customWidth="1"/>
    <col min="2" max="2" width="11.7109375" style="29" customWidth="1"/>
    <col min="3" max="3" width="12.140625" customWidth="1"/>
    <col min="4" max="4" width="13.42578125" customWidth="1"/>
    <col min="5" max="5" width="40.85546875" customWidth="1"/>
    <col min="6" max="8" width="13" customWidth="1"/>
    <col min="9" max="9" width="13.85546875" customWidth="1"/>
    <col min="10" max="10" width="8.140625" customWidth="1"/>
    <col min="11" max="11" width="10.28515625" customWidth="1"/>
    <col min="12" max="12" width="15.42578125" customWidth="1"/>
    <col min="13" max="13" width="16.28515625" customWidth="1"/>
    <col min="14" max="15" width="5.140625" customWidth="1"/>
    <col min="16" max="16" width="13.7109375" customWidth="1"/>
    <col min="17" max="17" width="10.28515625" customWidth="1"/>
    <col min="18" max="18" width="11" customWidth="1"/>
    <col min="19" max="19" width="7.42578125" customWidth="1"/>
    <col min="20" max="20" width="8.85546875" customWidth="1"/>
    <col min="21" max="21" width="10.42578125" customWidth="1"/>
    <col min="22" max="22" width="10" customWidth="1"/>
    <col min="23" max="23" width="8.5703125" customWidth="1"/>
    <col min="24" max="24" width="8" customWidth="1"/>
    <col min="25" max="25" width="10.140625" customWidth="1"/>
    <col min="26" max="26" width="15.28515625" customWidth="1"/>
    <col min="27" max="27" width="16.140625" customWidth="1"/>
    <col min="28" max="29" width="5" customWidth="1"/>
    <col min="30" max="30" width="13.5703125" customWidth="1"/>
    <col min="31" max="31" width="10.140625" customWidth="1"/>
    <col min="32" max="32" width="10.85546875" customWidth="1"/>
    <col min="33" max="33" width="7.28515625" customWidth="1"/>
    <col min="34" max="34" width="8.7109375" customWidth="1"/>
    <col min="35" max="35" width="10.28515625" customWidth="1"/>
    <col min="36" max="36" width="9.85546875" customWidth="1"/>
    <col min="37" max="37" width="8.42578125" customWidth="1"/>
    <col min="38" max="38" width="13.5703125" customWidth="1"/>
    <col min="39" max="39" width="20.42578125" customWidth="1"/>
    <col min="40" max="40" width="25.7109375" customWidth="1"/>
    <col min="41" max="43" width="22.85546875" customWidth="1"/>
    <col min="44" max="44" width="18" customWidth="1"/>
  </cols>
  <sheetData>
    <row r="1" spans="1:44">
      <c r="A1" t="s">
        <v>0</v>
      </c>
      <c r="B1" s="29"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v>1</v>
      </c>
      <c r="B2" s="37">
        <v>45204</v>
      </c>
      <c r="C2" s="39">
        <v>0.58333333333333304</v>
      </c>
      <c r="D2" t="s">
        <v>44</v>
      </c>
      <c r="E2" t="s">
        <v>45</v>
      </c>
      <c r="F2" t="s">
        <v>46</v>
      </c>
      <c r="G2" t="s">
        <v>47</v>
      </c>
      <c r="H2" t="s">
        <v>47</v>
      </c>
      <c r="I2" t="s">
        <v>48</v>
      </c>
      <c r="J2">
        <v>282</v>
      </c>
      <c r="K2">
        <v>9</v>
      </c>
      <c r="L2">
        <v>50</v>
      </c>
      <c r="M2">
        <v>2</v>
      </c>
      <c r="N2">
        <v>21</v>
      </c>
      <c r="O2">
        <v>6</v>
      </c>
      <c r="P2">
        <v>27</v>
      </c>
      <c r="Q2">
        <v>5.64</v>
      </c>
      <c r="R2">
        <v>1</v>
      </c>
      <c r="S2">
        <v>4</v>
      </c>
      <c r="T2">
        <v>3</v>
      </c>
      <c r="U2">
        <v>0</v>
      </c>
      <c r="V2">
        <v>0</v>
      </c>
      <c r="W2">
        <v>8</v>
      </c>
      <c r="X2">
        <v>283</v>
      </c>
      <c r="Y2">
        <v>1</v>
      </c>
      <c r="Z2">
        <v>36.200000000000003</v>
      </c>
      <c r="AA2">
        <v>2</v>
      </c>
      <c r="AB2">
        <v>30</v>
      </c>
      <c r="AC2">
        <v>8</v>
      </c>
      <c r="AD2">
        <v>38</v>
      </c>
      <c r="AE2">
        <v>7.78</v>
      </c>
      <c r="AF2">
        <v>0</v>
      </c>
      <c r="AG2">
        <v>0</v>
      </c>
      <c r="AH2">
        <v>6</v>
      </c>
      <c r="AI2">
        <v>0</v>
      </c>
      <c r="AJ2">
        <v>0</v>
      </c>
      <c r="AK2">
        <v>6</v>
      </c>
      <c r="AL2" t="s">
        <v>47</v>
      </c>
      <c r="AM2" t="s">
        <v>49</v>
      </c>
      <c r="AN2" t="s">
        <v>50</v>
      </c>
      <c r="AO2" t="s">
        <v>51</v>
      </c>
      <c r="AP2" t="s">
        <v>52</v>
      </c>
      <c r="AQ2" t="s">
        <v>53</v>
      </c>
      <c r="AR2" t="s">
        <v>54</v>
      </c>
    </row>
    <row r="3" spans="1:44">
      <c r="A3">
        <v>2</v>
      </c>
      <c r="B3" s="37">
        <v>45205</v>
      </c>
      <c r="C3" s="39">
        <v>0.58333333333333304</v>
      </c>
      <c r="D3" t="s">
        <v>55</v>
      </c>
      <c r="E3" t="s">
        <v>56</v>
      </c>
      <c r="F3" t="s">
        <v>57</v>
      </c>
      <c r="G3" t="s">
        <v>58</v>
      </c>
      <c r="H3" t="s">
        <v>58</v>
      </c>
      <c r="I3" t="s">
        <v>48</v>
      </c>
      <c r="J3">
        <v>286</v>
      </c>
      <c r="K3">
        <v>10</v>
      </c>
      <c r="L3">
        <v>49</v>
      </c>
      <c r="M3">
        <v>1</v>
      </c>
      <c r="N3">
        <v>33</v>
      </c>
      <c r="O3">
        <v>3</v>
      </c>
      <c r="P3">
        <v>36</v>
      </c>
      <c r="Q3">
        <v>5.83</v>
      </c>
      <c r="R3">
        <v>0</v>
      </c>
      <c r="S3">
        <v>0</v>
      </c>
      <c r="T3">
        <v>9</v>
      </c>
      <c r="U3">
        <v>0</v>
      </c>
      <c r="V3">
        <v>0</v>
      </c>
      <c r="W3">
        <v>9</v>
      </c>
      <c r="X3">
        <v>205</v>
      </c>
      <c r="Y3">
        <v>10</v>
      </c>
      <c r="Z3">
        <v>41</v>
      </c>
      <c r="AA3">
        <v>1</v>
      </c>
      <c r="AB3">
        <v>20</v>
      </c>
      <c r="AC3">
        <v>4</v>
      </c>
      <c r="AD3">
        <v>24</v>
      </c>
      <c r="AE3">
        <v>5</v>
      </c>
      <c r="AF3">
        <v>0</v>
      </c>
      <c r="AG3">
        <v>0</v>
      </c>
      <c r="AH3">
        <v>8</v>
      </c>
      <c r="AI3">
        <v>1</v>
      </c>
      <c r="AJ3">
        <v>0</v>
      </c>
      <c r="AK3">
        <v>9</v>
      </c>
      <c r="AL3" t="s">
        <v>57</v>
      </c>
      <c r="AM3" t="s">
        <v>59</v>
      </c>
      <c r="AN3" t="s">
        <v>60</v>
      </c>
      <c r="AO3" t="s">
        <v>61</v>
      </c>
      <c r="AP3" t="s">
        <v>62</v>
      </c>
      <c r="AQ3" t="s">
        <v>63</v>
      </c>
      <c r="AR3" t="s">
        <v>64</v>
      </c>
    </row>
    <row r="4" spans="1:44">
      <c r="A4">
        <v>3</v>
      </c>
      <c r="B4" s="37">
        <v>45206</v>
      </c>
      <c r="C4" s="39">
        <v>0.58333333333333304</v>
      </c>
      <c r="D4" t="s">
        <v>65</v>
      </c>
      <c r="E4" t="s">
        <v>66</v>
      </c>
      <c r="F4" t="s">
        <v>67</v>
      </c>
      <c r="G4" t="s">
        <v>68</v>
      </c>
      <c r="H4" t="s">
        <v>68</v>
      </c>
      <c r="I4" t="s">
        <v>48</v>
      </c>
      <c r="J4">
        <v>156</v>
      </c>
      <c r="K4">
        <v>10</v>
      </c>
      <c r="L4">
        <v>37.200000000000003</v>
      </c>
      <c r="M4">
        <v>1</v>
      </c>
      <c r="N4">
        <v>15</v>
      </c>
      <c r="O4">
        <v>2</v>
      </c>
      <c r="P4">
        <v>17</v>
      </c>
      <c r="Q4">
        <v>4.17</v>
      </c>
      <c r="R4">
        <v>3</v>
      </c>
      <c r="S4">
        <v>0</v>
      </c>
      <c r="T4">
        <v>4</v>
      </c>
      <c r="U4">
        <v>1</v>
      </c>
      <c r="V4">
        <v>0</v>
      </c>
      <c r="W4">
        <v>8</v>
      </c>
      <c r="X4">
        <v>158</v>
      </c>
      <c r="Y4">
        <v>4</v>
      </c>
      <c r="Z4">
        <v>34.4</v>
      </c>
      <c r="AA4">
        <v>5</v>
      </c>
      <c r="AB4">
        <v>13</v>
      </c>
      <c r="AC4">
        <v>1</v>
      </c>
      <c r="AD4">
        <v>14</v>
      </c>
      <c r="AE4">
        <v>4.55</v>
      </c>
      <c r="AF4">
        <v>0</v>
      </c>
      <c r="AG4">
        <v>0</v>
      </c>
      <c r="AH4">
        <v>8</v>
      </c>
      <c r="AI4">
        <v>0</v>
      </c>
      <c r="AJ4">
        <v>0</v>
      </c>
      <c r="AK4">
        <v>8</v>
      </c>
      <c r="AL4" t="s">
        <v>68</v>
      </c>
      <c r="AM4" t="s">
        <v>69</v>
      </c>
      <c r="AN4" t="s">
        <v>70</v>
      </c>
      <c r="AO4" t="s">
        <v>71</v>
      </c>
      <c r="AP4" t="s">
        <v>51</v>
      </c>
      <c r="AQ4" t="s">
        <v>72</v>
      </c>
      <c r="AR4" t="s">
        <v>73</v>
      </c>
    </row>
    <row r="5" spans="1:44">
      <c r="A5">
        <v>4</v>
      </c>
      <c r="B5" s="37">
        <v>45206</v>
      </c>
      <c r="C5" s="39">
        <v>0.58333333333333304</v>
      </c>
      <c r="D5" t="s">
        <v>74</v>
      </c>
      <c r="E5" t="s">
        <v>75</v>
      </c>
      <c r="F5" t="s">
        <v>76</v>
      </c>
      <c r="G5" t="s">
        <v>77</v>
      </c>
      <c r="H5" t="s">
        <v>77</v>
      </c>
      <c r="I5" t="s">
        <v>48</v>
      </c>
      <c r="J5">
        <v>428</v>
      </c>
      <c r="K5">
        <v>5</v>
      </c>
      <c r="L5">
        <v>50</v>
      </c>
      <c r="M5">
        <v>1</v>
      </c>
      <c r="N5">
        <v>45</v>
      </c>
      <c r="O5">
        <v>14</v>
      </c>
      <c r="P5">
        <v>59</v>
      </c>
      <c r="Q5">
        <v>8.56</v>
      </c>
      <c r="R5">
        <v>5</v>
      </c>
      <c r="S5">
        <v>0</v>
      </c>
      <c r="T5">
        <v>14</v>
      </c>
      <c r="U5">
        <v>1</v>
      </c>
      <c r="V5">
        <v>0</v>
      </c>
      <c r="W5">
        <v>20</v>
      </c>
      <c r="X5">
        <v>326</v>
      </c>
      <c r="Y5">
        <v>10</v>
      </c>
      <c r="Z5">
        <v>44.5</v>
      </c>
      <c r="AA5">
        <v>1</v>
      </c>
      <c r="AB5">
        <v>31</v>
      </c>
      <c r="AC5">
        <v>17</v>
      </c>
      <c r="AD5">
        <v>48</v>
      </c>
      <c r="AE5">
        <v>7.27</v>
      </c>
      <c r="AF5">
        <v>1</v>
      </c>
      <c r="AG5">
        <v>0</v>
      </c>
      <c r="AH5">
        <v>21</v>
      </c>
      <c r="AI5">
        <v>1</v>
      </c>
      <c r="AJ5">
        <v>0</v>
      </c>
      <c r="AK5">
        <v>23</v>
      </c>
      <c r="AL5" t="s">
        <v>76</v>
      </c>
      <c r="AM5" t="s">
        <v>78</v>
      </c>
      <c r="AN5" t="s">
        <v>79</v>
      </c>
      <c r="AO5" t="s">
        <v>80</v>
      </c>
      <c r="AP5" t="s">
        <v>81</v>
      </c>
      <c r="AQ5" t="s">
        <v>82</v>
      </c>
      <c r="AR5" t="s">
        <v>54</v>
      </c>
    </row>
    <row r="6" spans="1:44">
      <c r="A6">
        <v>5</v>
      </c>
      <c r="B6" s="37">
        <v>45207</v>
      </c>
      <c r="C6" s="39">
        <v>0.58333333333333304</v>
      </c>
      <c r="D6" t="s">
        <v>83</v>
      </c>
      <c r="E6" t="s">
        <v>84</v>
      </c>
      <c r="F6" t="s">
        <v>85</v>
      </c>
      <c r="G6" t="s">
        <v>86</v>
      </c>
      <c r="H6" t="s">
        <v>85</v>
      </c>
      <c r="I6" t="s">
        <v>87</v>
      </c>
      <c r="J6">
        <v>199</v>
      </c>
      <c r="K6">
        <v>10</v>
      </c>
      <c r="L6">
        <v>49.3</v>
      </c>
      <c r="M6">
        <v>1</v>
      </c>
      <c r="N6">
        <v>16</v>
      </c>
      <c r="O6">
        <v>2</v>
      </c>
      <c r="P6">
        <v>18</v>
      </c>
      <c r="Q6">
        <v>4.0199999999999996</v>
      </c>
      <c r="R6">
        <v>1</v>
      </c>
      <c r="S6">
        <v>1</v>
      </c>
      <c r="T6">
        <v>5</v>
      </c>
      <c r="U6">
        <v>1</v>
      </c>
      <c r="V6">
        <v>0</v>
      </c>
      <c r="W6">
        <v>8</v>
      </c>
      <c r="X6">
        <v>201</v>
      </c>
      <c r="Y6">
        <v>4</v>
      </c>
      <c r="Z6">
        <v>41.2</v>
      </c>
      <c r="AA6">
        <v>4</v>
      </c>
      <c r="AB6">
        <v>14</v>
      </c>
      <c r="AC6">
        <v>3</v>
      </c>
      <c r="AD6">
        <v>17</v>
      </c>
      <c r="AE6">
        <v>4.8600000000000003</v>
      </c>
      <c r="AF6">
        <v>6</v>
      </c>
      <c r="AG6">
        <v>0</v>
      </c>
      <c r="AH6">
        <v>6</v>
      </c>
      <c r="AI6">
        <v>0</v>
      </c>
      <c r="AJ6">
        <v>0</v>
      </c>
      <c r="AK6">
        <v>12</v>
      </c>
      <c r="AL6" t="s">
        <v>86</v>
      </c>
      <c r="AM6" t="s">
        <v>88</v>
      </c>
      <c r="AN6" t="s">
        <v>89</v>
      </c>
      <c r="AO6" t="s">
        <v>90</v>
      </c>
      <c r="AP6" t="s">
        <v>91</v>
      </c>
      <c r="AQ6" t="s">
        <v>62</v>
      </c>
      <c r="AR6" t="s">
        <v>92</v>
      </c>
    </row>
    <row r="7" spans="1:44">
      <c r="A7">
        <v>6</v>
      </c>
      <c r="B7" s="37">
        <v>45208</v>
      </c>
      <c r="C7" s="39">
        <v>0.58333333333333304</v>
      </c>
      <c r="D7" t="s">
        <v>55</v>
      </c>
      <c r="E7" t="s">
        <v>93</v>
      </c>
      <c r="F7" t="s">
        <v>47</v>
      </c>
      <c r="G7" t="s">
        <v>58</v>
      </c>
      <c r="H7" t="s">
        <v>58</v>
      </c>
      <c r="I7" t="s">
        <v>48</v>
      </c>
      <c r="J7">
        <v>322</v>
      </c>
      <c r="K7">
        <v>7</v>
      </c>
      <c r="L7">
        <v>50</v>
      </c>
      <c r="M7">
        <v>0</v>
      </c>
      <c r="N7">
        <v>30</v>
      </c>
      <c r="O7">
        <v>10</v>
      </c>
      <c r="P7">
        <v>40</v>
      </c>
      <c r="Q7">
        <v>6.44</v>
      </c>
      <c r="R7">
        <v>1</v>
      </c>
      <c r="S7">
        <v>0</v>
      </c>
      <c r="T7">
        <v>2</v>
      </c>
      <c r="U7">
        <v>1</v>
      </c>
      <c r="V7">
        <v>0</v>
      </c>
      <c r="W7">
        <v>4</v>
      </c>
      <c r="X7">
        <v>223</v>
      </c>
      <c r="Y7">
        <v>10</v>
      </c>
      <c r="Z7">
        <v>46.3</v>
      </c>
      <c r="AA7">
        <v>3</v>
      </c>
      <c r="AB7">
        <v>19</v>
      </c>
      <c r="AC7">
        <v>3</v>
      </c>
      <c r="AD7">
        <v>22</v>
      </c>
      <c r="AE7">
        <v>4.79</v>
      </c>
      <c r="AF7">
        <v>3</v>
      </c>
      <c r="AG7">
        <v>0</v>
      </c>
      <c r="AH7">
        <v>8</v>
      </c>
      <c r="AI7">
        <v>2</v>
      </c>
      <c r="AJ7">
        <v>0</v>
      </c>
      <c r="AK7">
        <v>13</v>
      </c>
      <c r="AL7" t="s">
        <v>47</v>
      </c>
      <c r="AM7" t="s">
        <v>94</v>
      </c>
      <c r="AN7" t="s">
        <v>95</v>
      </c>
      <c r="AO7" t="s">
        <v>96</v>
      </c>
      <c r="AP7" t="s">
        <v>63</v>
      </c>
      <c r="AQ7" t="s">
        <v>71</v>
      </c>
      <c r="AR7" t="s">
        <v>73</v>
      </c>
    </row>
    <row r="8" spans="1:44">
      <c r="A8">
        <v>7</v>
      </c>
      <c r="B8" s="37">
        <v>45209</v>
      </c>
      <c r="C8" s="39">
        <v>0.4375</v>
      </c>
      <c r="D8" t="s">
        <v>65</v>
      </c>
      <c r="E8" t="s">
        <v>66</v>
      </c>
      <c r="F8" t="s">
        <v>46</v>
      </c>
      <c r="G8" t="s">
        <v>68</v>
      </c>
      <c r="H8" t="s">
        <v>68</v>
      </c>
      <c r="I8" t="s">
        <v>48</v>
      </c>
      <c r="J8">
        <v>364</v>
      </c>
      <c r="K8">
        <v>9</v>
      </c>
      <c r="L8">
        <v>50</v>
      </c>
      <c r="M8">
        <v>1</v>
      </c>
      <c r="N8">
        <v>41</v>
      </c>
      <c r="O8">
        <v>7</v>
      </c>
      <c r="P8">
        <v>48</v>
      </c>
      <c r="Q8">
        <v>7.28</v>
      </c>
      <c r="R8">
        <v>4</v>
      </c>
      <c r="S8">
        <v>0</v>
      </c>
      <c r="T8">
        <v>3</v>
      </c>
      <c r="U8">
        <v>0</v>
      </c>
      <c r="V8">
        <v>0</v>
      </c>
      <c r="W8">
        <v>7</v>
      </c>
      <c r="X8">
        <v>227</v>
      </c>
      <c r="Y8">
        <v>10</v>
      </c>
      <c r="Z8">
        <v>48.2</v>
      </c>
      <c r="AA8">
        <v>0</v>
      </c>
      <c r="AB8">
        <v>17</v>
      </c>
      <c r="AC8">
        <v>3</v>
      </c>
      <c r="AD8">
        <v>20</v>
      </c>
      <c r="AE8">
        <v>4.6900000000000004</v>
      </c>
      <c r="AF8">
        <v>2</v>
      </c>
      <c r="AG8">
        <v>1</v>
      </c>
      <c r="AH8">
        <v>4</v>
      </c>
      <c r="AI8">
        <v>0</v>
      </c>
      <c r="AJ8">
        <v>0</v>
      </c>
      <c r="AK8">
        <v>7</v>
      </c>
      <c r="AL8" t="s">
        <v>46</v>
      </c>
      <c r="AM8" t="s">
        <v>97</v>
      </c>
      <c r="AN8" t="s">
        <v>98</v>
      </c>
      <c r="AO8" t="s">
        <v>72</v>
      </c>
      <c r="AP8" t="s">
        <v>53</v>
      </c>
      <c r="AQ8" t="s">
        <v>61</v>
      </c>
      <c r="AR8" t="s">
        <v>54</v>
      </c>
    </row>
    <row r="9" spans="1:44">
      <c r="A9">
        <v>8</v>
      </c>
      <c r="B9" s="37">
        <v>45209</v>
      </c>
      <c r="C9" s="39">
        <v>0.58333333333333304</v>
      </c>
      <c r="D9" t="s">
        <v>55</v>
      </c>
      <c r="E9" t="s">
        <v>93</v>
      </c>
      <c r="F9" t="s">
        <v>77</v>
      </c>
      <c r="G9" t="s">
        <v>57</v>
      </c>
      <c r="H9" t="s">
        <v>77</v>
      </c>
      <c r="I9" t="s">
        <v>87</v>
      </c>
      <c r="J9">
        <v>344</v>
      </c>
      <c r="K9">
        <v>9</v>
      </c>
      <c r="L9">
        <v>50</v>
      </c>
      <c r="M9">
        <v>0</v>
      </c>
      <c r="N9">
        <v>36</v>
      </c>
      <c r="O9">
        <v>9</v>
      </c>
      <c r="P9">
        <v>45</v>
      </c>
      <c r="Q9">
        <v>6.88</v>
      </c>
      <c r="R9">
        <v>0</v>
      </c>
      <c r="S9">
        <v>0</v>
      </c>
      <c r="T9">
        <v>25</v>
      </c>
      <c r="U9">
        <v>1</v>
      </c>
      <c r="V9">
        <v>0</v>
      </c>
      <c r="W9">
        <v>26</v>
      </c>
      <c r="X9">
        <v>345</v>
      </c>
      <c r="Y9">
        <v>4</v>
      </c>
      <c r="Z9">
        <v>48.2</v>
      </c>
      <c r="AA9">
        <v>0</v>
      </c>
      <c r="AB9">
        <v>26</v>
      </c>
      <c r="AC9">
        <v>6</v>
      </c>
      <c r="AD9">
        <v>32</v>
      </c>
      <c r="AE9">
        <v>7.13</v>
      </c>
      <c r="AF9">
        <v>2</v>
      </c>
      <c r="AG9">
        <v>2</v>
      </c>
      <c r="AH9">
        <v>9</v>
      </c>
      <c r="AI9">
        <v>1</v>
      </c>
      <c r="AJ9">
        <v>0</v>
      </c>
      <c r="AK9">
        <v>14</v>
      </c>
      <c r="AL9" t="s">
        <v>57</v>
      </c>
      <c r="AM9" t="s">
        <v>69</v>
      </c>
      <c r="AN9" t="s">
        <v>99</v>
      </c>
      <c r="AO9" t="s">
        <v>90</v>
      </c>
      <c r="AP9" t="s">
        <v>100</v>
      </c>
      <c r="AQ9" t="s">
        <v>52</v>
      </c>
      <c r="AR9" t="s">
        <v>73</v>
      </c>
    </row>
    <row r="10" spans="1:44">
      <c r="A10">
        <v>9</v>
      </c>
      <c r="B10" s="37">
        <v>45210</v>
      </c>
      <c r="C10" s="39">
        <v>0.58333333333333304</v>
      </c>
      <c r="D10" t="s">
        <v>74</v>
      </c>
      <c r="E10" t="s">
        <v>75</v>
      </c>
      <c r="F10" t="s">
        <v>67</v>
      </c>
      <c r="G10" t="s">
        <v>86</v>
      </c>
      <c r="H10" t="s">
        <v>67</v>
      </c>
      <c r="I10" t="s">
        <v>87</v>
      </c>
      <c r="J10">
        <v>272</v>
      </c>
      <c r="K10">
        <v>8</v>
      </c>
      <c r="L10">
        <v>50</v>
      </c>
      <c r="M10">
        <v>0</v>
      </c>
      <c r="N10">
        <v>25</v>
      </c>
      <c r="O10">
        <v>7</v>
      </c>
      <c r="P10">
        <v>32</v>
      </c>
      <c r="Q10">
        <v>5.44</v>
      </c>
      <c r="R10">
        <v>4</v>
      </c>
      <c r="S10">
        <v>1</v>
      </c>
      <c r="T10">
        <v>10</v>
      </c>
      <c r="U10">
        <v>0</v>
      </c>
      <c r="V10">
        <v>0</v>
      </c>
      <c r="W10">
        <v>15</v>
      </c>
      <c r="X10">
        <v>273</v>
      </c>
      <c r="Y10">
        <v>2</v>
      </c>
      <c r="Z10">
        <v>35</v>
      </c>
      <c r="AA10">
        <v>0</v>
      </c>
      <c r="AB10">
        <v>28</v>
      </c>
      <c r="AC10">
        <v>8</v>
      </c>
      <c r="AD10">
        <v>36</v>
      </c>
      <c r="AE10">
        <v>7.8</v>
      </c>
      <c r="AF10">
        <v>3</v>
      </c>
      <c r="AG10">
        <v>2</v>
      </c>
      <c r="AH10">
        <v>8</v>
      </c>
      <c r="AI10">
        <v>2</v>
      </c>
      <c r="AJ10">
        <v>0</v>
      </c>
      <c r="AK10">
        <v>15</v>
      </c>
      <c r="AL10" t="s">
        <v>86</v>
      </c>
      <c r="AM10" t="s">
        <v>101</v>
      </c>
      <c r="AN10" t="s">
        <v>102</v>
      </c>
      <c r="AO10" t="s">
        <v>82</v>
      </c>
      <c r="AP10" t="s">
        <v>96</v>
      </c>
      <c r="AQ10" t="s">
        <v>103</v>
      </c>
      <c r="AR10" t="s">
        <v>64</v>
      </c>
    </row>
    <row r="11" spans="1:44">
      <c r="A11">
        <v>10</v>
      </c>
      <c r="B11" s="37">
        <v>45211</v>
      </c>
      <c r="C11" s="39">
        <v>0.58333333333333304</v>
      </c>
      <c r="D11" t="s">
        <v>104</v>
      </c>
      <c r="E11" t="s">
        <v>105</v>
      </c>
      <c r="F11" t="s">
        <v>76</v>
      </c>
      <c r="G11" t="s">
        <v>85</v>
      </c>
      <c r="H11" t="s">
        <v>85</v>
      </c>
      <c r="I11" t="s">
        <v>48</v>
      </c>
      <c r="J11">
        <v>311</v>
      </c>
      <c r="K11">
        <v>7</v>
      </c>
      <c r="L11">
        <v>50</v>
      </c>
      <c r="M11">
        <v>3</v>
      </c>
      <c r="N11">
        <v>26</v>
      </c>
      <c r="O11">
        <v>8</v>
      </c>
      <c r="P11">
        <v>34</v>
      </c>
      <c r="Q11">
        <v>6.22</v>
      </c>
      <c r="R11">
        <v>4</v>
      </c>
      <c r="S11">
        <v>0</v>
      </c>
      <c r="T11">
        <v>11</v>
      </c>
      <c r="U11">
        <v>2</v>
      </c>
      <c r="V11">
        <v>0</v>
      </c>
      <c r="W11">
        <v>17</v>
      </c>
      <c r="X11">
        <v>177</v>
      </c>
      <c r="Y11">
        <v>10</v>
      </c>
      <c r="Z11">
        <v>40.5</v>
      </c>
      <c r="AA11">
        <v>2</v>
      </c>
      <c r="AB11">
        <v>19</v>
      </c>
      <c r="AC11">
        <v>0</v>
      </c>
      <c r="AD11">
        <v>19</v>
      </c>
      <c r="AE11">
        <v>4.33</v>
      </c>
      <c r="AF11">
        <v>2</v>
      </c>
      <c r="AG11">
        <v>4</v>
      </c>
      <c r="AH11">
        <v>7</v>
      </c>
      <c r="AI11">
        <v>0</v>
      </c>
      <c r="AJ11">
        <v>0</v>
      </c>
      <c r="AK11">
        <v>13</v>
      </c>
      <c r="AL11" t="s">
        <v>76</v>
      </c>
      <c r="AM11" t="s">
        <v>106</v>
      </c>
      <c r="AN11" t="s">
        <v>107</v>
      </c>
      <c r="AO11" t="s">
        <v>71</v>
      </c>
      <c r="AP11" t="s">
        <v>80</v>
      </c>
      <c r="AQ11" t="s">
        <v>91</v>
      </c>
      <c r="AR11" t="s">
        <v>54</v>
      </c>
    </row>
    <row r="12" spans="1:44">
      <c r="A12">
        <v>11</v>
      </c>
      <c r="B12" s="37">
        <v>45212</v>
      </c>
      <c r="C12" s="39">
        <v>0.58333333333333304</v>
      </c>
      <c r="D12" t="s">
        <v>83</v>
      </c>
      <c r="E12" t="s">
        <v>84</v>
      </c>
      <c r="F12" t="s">
        <v>68</v>
      </c>
      <c r="G12" t="s">
        <v>47</v>
      </c>
      <c r="H12" t="s">
        <v>47</v>
      </c>
      <c r="I12" t="s">
        <v>48</v>
      </c>
      <c r="J12">
        <v>245</v>
      </c>
      <c r="K12">
        <v>9</v>
      </c>
      <c r="L12">
        <v>50</v>
      </c>
      <c r="M12">
        <v>1</v>
      </c>
      <c r="N12">
        <v>20</v>
      </c>
      <c r="O12">
        <v>8</v>
      </c>
      <c r="P12">
        <v>28</v>
      </c>
      <c r="Q12">
        <v>4.9000000000000004</v>
      </c>
      <c r="R12">
        <v>1</v>
      </c>
      <c r="S12">
        <v>0</v>
      </c>
      <c r="T12">
        <v>10</v>
      </c>
      <c r="U12">
        <v>0</v>
      </c>
      <c r="V12">
        <v>0</v>
      </c>
      <c r="W12">
        <v>11</v>
      </c>
      <c r="X12">
        <v>248</v>
      </c>
      <c r="Y12">
        <v>2</v>
      </c>
      <c r="Z12">
        <v>42.5</v>
      </c>
      <c r="AA12">
        <v>1</v>
      </c>
      <c r="AB12">
        <v>20</v>
      </c>
      <c r="AC12">
        <v>6</v>
      </c>
      <c r="AD12">
        <v>26</v>
      </c>
      <c r="AE12">
        <v>5.78</v>
      </c>
      <c r="AF12">
        <v>1</v>
      </c>
      <c r="AG12">
        <v>0</v>
      </c>
      <c r="AH12">
        <v>4</v>
      </c>
      <c r="AI12">
        <v>4</v>
      </c>
      <c r="AJ12">
        <v>0</v>
      </c>
      <c r="AK12">
        <v>9</v>
      </c>
      <c r="AL12" t="s">
        <v>47</v>
      </c>
      <c r="AM12" t="s">
        <v>101</v>
      </c>
      <c r="AN12" t="s">
        <v>108</v>
      </c>
      <c r="AO12" t="s">
        <v>51</v>
      </c>
      <c r="AP12" t="s">
        <v>52</v>
      </c>
      <c r="AQ12" t="s">
        <v>82</v>
      </c>
      <c r="AR12" t="s">
        <v>92</v>
      </c>
    </row>
    <row r="13" spans="1:44">
      <c r="A13">
        <v>12</v>
      </c>
      <c r="B13" s="37">
        <v>45213</v>
      </c>
      <c r="C13" s="39">
        <v>0.58333333333333304</v>
      </c>
      <c r="D13" t="s">
        <v>44</v>
      </c>
      <c r="E13" t="s">
        <v>45</v>
      </c>
      <c r="F13" t="s">
        <v>57</v>
      </c>
      <c r="G13" t="s">
        <v>86</v>
      </c>
      <c r="H13" t="s">
        <v>86</v>
      </c>
      <c r="I13" t="s">
        <v>48</v>
      </c>
      <c r="J13">
        <v>191</v>
      </c>
      <c r="K13">
        <v>10</v>
      </c>
      <c r="L13">
        <v>42.5</v>
      </c>
      <c r="M13">
        <v>0</v>
      </c>
      <c r="N13">
        <v>26</v>
      </c>
      <c r="O13">
        <v>0</v>
      </c>
      <c r="P13">
        <v>26</v>
      </c>
      <c r="Q13">
        <v>4.45</v>
      </c>
      <c r="R13">
        <v>5</v>
      </c>
      <c r="S13">
        <v>0</v>
      </c>
      <c r="T13">
        <v>1</v>
      </c>
      <c r="U13">
        <v>0</v>
      </c>
      <c r="V13">
        <v>0</v>
      </c>
      <c r="W13">
        <v>6</v>
      </c>
      <c r="X13">
        <v>192</v>
      </c>
      <c r="Y13">
        <v>3</v>
      </c>
      <c r="Z13">
        <v>30.3</v>
      </c>
      <c r="AA13">
        <v>1</v>
      </c>
      <c r="AB13">
        <v>17</v>
      </c>
      <c r="AC13">
        <v>8</v>
      </c>
      <c r="AD13">
        <v>25</v>
      </c>
      <c r="AE13">
        <v>6.29</v>
      </c>
      <c r="AF13">
        <v>2</v>
      </c>
      <c r="AG13">
        <v>1</v>
      </c>
      <c r="AH13">
        <v>1</v>
      </c>
      <c r="AI13">
        <v>0</v>
      </c>
      <c r="AJ13">
        <v>0</v>
      </c>
      <c r="AK13">
        <v>4</v>
      </c>
      <c r="AL13" t="s">
        <v>86</v>
      </c>
      <c r="AM13" t="s">
        <v>109</v>
      </c>
      <c r="AN13" t="s">
        <v>110</v>
      </c>
      <c r="AO13" t="s">
        <v>80</v>
      </c>
      <c r="AP13" t="s">
        <v>103</v>
      </c>
      <c r="AQ13" t="s">
        <v>91</v>
      </c>
      <c r="AR13" t="s">
        <v>73</v>
      </c>
    </row>
    <row r="14" spans="1:44">
      <c r="A14">
        <v>13</v>
      </c>
      <c r="B14" s="37">
        <v>45214</v>
      </c>
      <c r="C14" s="39">
        <v>0.58333333333333304</v>
      </c>
      <c r="D14" t="s">
        <v>74</v>
      </c>
      <c r="E14" t="s">
        <v>75</v>
      </c>
      <c r="F14" t="s">
        <v>67</v>
      </c>
      <c r="G14" t="s">
        <v>46</v>
      </c>
      <c r="H14" t="s">
        <v>46</v>
      </c>
      <c r="I14" t="s">
        <v>48</v>
      </c>
      <c r="J14">
        <v>284</v>
      </c>
      <c r="K14">
        <v>10</v>
      </c>
      <c r="L14">
        <v>49.5</v>
      </c>
      <c r="M14">
        <v>3</v>
      </c>
      <c r="N14">
        <v>23</v>
      </c>
      <c r="O14">
        <v>8</v>
      </c>
      <c r="P14">
        <v>31</v>
      </c>
      <c r="Q14">
        <v>5.69</v>
      </c>
      <c r="R14">
        <v>4</v>
      </c>
      <c r="S14">
        <v>0</v>
      </c>
      <c r="T14">
        <v>8</v>
      </c>
      <c r="U14">
        <v>1</v>
      </c>
      <c r="V14">
        <v>0</v>
      </c>
      <c r="W14">
        <v>13</v>
      </c>
      <c r="X14">
        <v>215</v>
      </c>
      <c r="Y14">
        <v>10</v>
      </c>
      <c r="Z14">
        <v>40.299999999999997</v>
      </c>
      <c r="AA14">
        <v>2</v>
      </c>
      <c r="AB14">
        <v>24</v>
      </c>
      <c r="AC14">
        <v>1</v>
      </c>
      <c r="AD14">
        <v>25</v>
      </c>
      <c r="AE14">
        <v>5.3</v>
      </c>
      <c r="AF14">
        <v>1</v>
      </c>
      <c r="AG14">
        <v>0</v>
      </c>
      <c r="AH14">
        <v>11</v>
      </c>
      <c r="AI14">
        <v>3</v>
      </c>
      <c r="AJ14">
        <v>0</v>
      </c>
      <c r="AK14">
        <v>15</v>
      </c>
      <c r="AL14" t="s">
        <v>67</v>
      </c>
      <c r="AM14" t="s">
        <v>111</v>
      </c>
      <c r="AN14" t="s">
        <v>112</v>
      </c>
      <c r="AO14" t="s">
        <v>81</v>
      </c>
      <c r="AP14" t="s">
        <v>63</v>
      </c>
      <c r="AQ14" t="s">
        <v>96</v>
      </c>
      <c r="AR14" t="s">
        <v>64</v>
      </c>
    </row>
    <row r="15" spans="1:44">
      <c r="A15">
        <v>14</v>
      </c>
      <c r="B15" s="37">
        <v>45215</v>
      </c>
      <c r="C15" s="39">
        <v>0.58333333333333304</v>
      </c>
      <c r="D15" t="s">
        <v>104</v>
      </c>
      <c r="E15" t="s">
        <v>105</v>
      </c>
      <c r="F15" t="s">
        <v>77</v>
      </c>
      <c r="G15" t="s">
        <v>85</v>
      </c>
      <c r="H15" t="s">
        <v>77</v>
      </c>
      <c r="I15" t="s">
        <v>87</v>
      </c>
      <c r="J15">
        <v>209</v>
      </c>
      <c r="K15">
        <v>10</v>
      </c>
      <c r="L15">
        <v>43.3</v>
      </c>
      <c r="M15">
        <v>2</v>
      </c>
      <c r="N15">
        <v>23</v>
      </c>
      <c r="O15">
        <v>1</v>
      </c>
      <c r="P15">
        <v>24</v>
      </c>
      <c r="Q15">
        <v>4.8</v>
      </c>
      <c r="R15">
        <v>0</v>
      </c>
      <c r="S15">
        <v>0</v>
      </c>
      <c r="T15">
        <v>3</v>
      </c>
      <c r="U15">
        <v>0</v>
      </c>
      <c r="V15">
        <v>0</v>
      </c>
      <c r="W15">
        <v>3</v>
      </c>
      <c r="X15">
        <v>215</v>
      </c>
      <c r="Y15">
        <v>5</v>
      </c>
      <c r="Z15">
        <v>35.200000000000003</v>
      </c>
      <c r="AA15">
        <v>2</v>
      </c>
      <c r="AB15">
        <v>22</v>
      </c>
      <c r="AC15">
        <v>5</v>
      </c>
      <c r="AD15">
        <v>27</v>
      </c>
      <c r="AE15">
        <v>6.08</v>
      </c>
      <c r="AF15">
        <v>2</v>
      </c>
      <c r="AG15">
        <v>2</v>
      </c>
      <c r="AH15">
        <v>9</v>
      </c>
      <c r="AI15">
        <v>0</v>
      </c>
      <c r="AJ15">
        <v>0</v>
      </c>
      <c r="AK15">
        <v>13</v>
      </c>
      <c r="AL15" t="s">
        <v>85</v>
      </c>
      <c r="AM15" t="s">
        <v>113</v>
      </c>
      <c r="AN15" t="s">
        <v>114</v>
      </c>
      <c r="AO15" t="s">
        <v>100</v>
      </c>
      <c r="AP15" t="s">
        <v>90</v>
      </c>
      <c r="AQ15" t="s">
        <v>62</v>
      </c>
      <c r="AR15" t="s">
        <v>92</v>
      </c>
    </row>
    <row r="16" spans="1:44">
      <c r="A16">
        <v>15</v>
      </c>
      <c r="B16" s="37">
        <v>45216</v>
      </c>
      <c r="C16" s="39">
        <v>0.58333333333333304</v>
      </c>
      <c r="D16" t="s">
        <v>65</v>
      </c>
      <c r="E16" t="s">
        <v>66</v>
      </c>
      <c r="F16" t="s">
        <v>58</v>
      </c>
      <c r="G16" t="s">
        <v>76</v>
      </c>
      <c r="H16" t="s">
        <v>76</v>
      </c>
      <c r="I16" t="s">
        <v>48</v>
      </c>
      <c r="J16">
        <v>245</v>
      </c>
      <c r="K16">
        <v>8</v>
      </c>
      <c r="L16">
        <v>43</v>
      </c>
      <c r="M16">
        <v>1</v>
      </c>
      <c r="N16">
        <v>23</v>
      </c>
      <c r="O16">
        <v>6</v>
      </c>
      <c r="P16">
        <v>29</v>
      </c>
      <c r="Q16">
        <v>5.69</v>
      </c>
      <c r="R16">
        <v>2</v>
      </c>
      <c r="S16">
        <v>0</v>
      </c>
      <c r="T16">
        <v>5</v>
      </c>
      <c r="U16">
        <v>1</v>
      </c>
      <c r="V16">
        <v>0</v>
      </c>
      <c r="W16">
        <v>8</v>
      </c>
      <c r="X16">
        <v>207</v>
      </c>
      <c r="Y16">
        <v>10</v>
      </c>
      <c r="Z16">
        <v>42.5</v>
      </c>
      <c r="AA16">
        <v>3</v>
      </c>
      <c r="AB16">
        <v>19</v>
      </c>
      <c r="AC16">
        <v>5</v>
      </c>
      <c r="AD16">
        <v>24</v>
      </c>
      <c r="AE16">
        <v>4.83</v>
      </c>
      <c r="AF16">
        <v>10</v>
      </c>
      <c r="AG16">
        <v>0</v>
      </c>
      <c r="AH16">
        <v>21</v>
      </c>
      <c r="AI16">
        <v>1</v>
      </c>
      <c r="AJ16">
        <v>0</v>
      </c>
      <c r="AK16">
        <v>32</v>
      </c>
      <c r="AL16" t="s">
        <v>58</v>
      </c>
      <c r="AM16" t="s">
        <v>115</v>
      </c>
      <c r="AN16" t="s">
        <v>116</v>
      </c>
      <c r="AO16" t="s">
        <v>91</v>
      </c>
      <c r="AP16" t="s">
        <v>82</v>
      </c>
      <c r="AQ16" t="s">
        <v>81</v>
      </c>
      <c r="AR16" t="s">
        <v>64</v>
      </c>
    </row>
    <row r="17" spans="1:44">
      <c r="A17">
        <v>16</v>
      </c>
      <c r="B17" s="37">
        <v>45217</v>
      </c>
      <c r="C17" s="39">
        <v>0.58333333333333304</v>
      </c>
      <c r="D17" t="s">
        <v>83</v>
      </c>
      <c r="E17" t="s">
        <v>84</v>
      </c>
      <c r="F17" t="s">
        <v>47</v>
      </c>
      <c r="G17" t="s">
        <v>67</v>
      </c>
      <c r="H17" t="s">
        <v>67</v>
      </c>
      <c r="I17" t="s">
        <v>48</v>
      </c>
      <c r="J17">
        <v>288</v>
      </c>
      <c r="K17">
        <v>6</v>
      </c>
      <c r="L17">
        <v>50</v>
      </c>
      <c r="M17">
        <v>4</v>
      </c>
      <c r="N17">
        <v>19</v>
      </c>
      <c r="O17">
        <v>11</v>
      </c>
      <c r="P17">
        <v>30</v>
      </c>
      <c r="Q17">
        <v>5.76</v>
      </c>
      <c r="R17">
        <v>0</v>
      </c>
      <c r="S17">
        <v>0</v>
      </c>
      <c r="T17">
        <v>5</v>
      </c>
      <c r="U17">
        <v>0</v>
      </c>
      <c r="V17">
        <v>0</v>
      </c>
      <c r="W17">
        <v>5</v>
      </c>
      <c r="X17">
        <v>139</v>
      </c>
      <c r="Y17">
        <v>10</v>
      </c>
      <c r="Z17">
        <v>34.4</v>
      </c>
      <c r="AA17">
        <v>2</v>
      </c>
      <c r="AB17">
        <v>11</v>
      </c>
      <c r="AC17">
        <v>2</v>
      </c>
      <c r="AD17">
        <v>13</v>
      </c>
      <c r="AE17">
        <v>4</v>
      </c>
      <c r="AF17">
        <v>4</v>
      </c>
      <c r="AG17">
        <v>0</v>
      </c>
      <c r="AH17">
        <v>5</v>
      </c>
      <c r="AI17">
        <v>1</v>
      </c>
      <c r="AJ17">
        <v>0</v>
      </c>
      <c r="AK17">
        <v>10</v>
      </c>
      <c r="AL17" t="s">
        <v>47</v>
      </c>
      <c r="AM17" t="s">
        <v>117</v>
      </c>
      <c r="AN17" t="s">
        <v>118</v>
      </c>
      <c r="AO17" t="s">
        <v>53</v>
      </c>
      <c r="AP17" t="s">
        <v>71</v>
      </c>
      <c r="AQ17" t="s">
        <v>100</v>
      </c>
      <c r="AR17" t="s">
        <v>54</v>
      </c>
    </row>
    <row r="18" spans="1:44">
      <c r="A18">
        <v>17</v>
      </c>
      <c r="B18" s="37">
        <v>45218</v>
      </c>
      <c r="C18" s="39">
        <v>0.58333333333333304</v>
      </c>
      <c r="D18" t="s">
        <v>119</v>
      </c>
      <c r="E18" t="s">
        <v>120</v>
      </c>
      <c r="F18" t="s">
        <v>68</v>
      </c>
      <c r="G18" t="s">
        <v>86</v>
      </c>
      <c r="H18" t="s">
        <v>68</v>
      </c>
      <c r="I18" t="s">
        <v>87</v>
      </c>
      <c r="J18">
        <v>256</v>
      </c>
      <c r="K18">
        <v>8</v>
      </c>
      <c r="L18">
        <v>50</v>
      </c>
      <c r="M18">
        <v>0</v>
      </c>
      <c r="N18">
        <v>18</v>
      </c>
      <c r="O18">
        <v>8</v>
      </c>
      <c r="P18">
        <v>26</v>
      </c>
      <c r="Q18">
        <v>5.12</v>
      </c>
      <c r="R18">
        <v>0</v>
      </c>
      <c r="S18">
        <v>0</v>
      </c>
      <c r="T18">
        <v>2</v>
      </c>
      <c r="U18">
        <v>2</v>
      </c>
      <c r="V18">
        <v>0</v>
      </c>
      <c r="W18">
        <v>4</v>
      </c>
      <c r="X18">
        <v>261</v>
      </c>
      <c r="Y18">
        <v>3</v>
      </c>
      <c r="Z18">
        <v>41.3</v>
      </c>
      <c r="AA18">
        <v>1</v>
      </c>
      <c r="AB18">
        <v>23</v>
      </c>
      <c r="AC18">
        <v>9</v>
      </c>
      <c r="AD18">
        <v>32</v>
      </c>
      <c r="AE18">
        <v>6.28</v>
      </c>
      <c r="AF18">
        <v>1</v>
      </c>
      <c r="AG18">
        <v>0</v>
      </c>
      <c r="AH18">
        <v>5</v>
      </c>
      <c r="AI18">
        <v>0</v>
      </c>
      <c r="AJ18">
        <v>0</v>
      </c>
      <c r="AK18">
        <v>6</v>
      </c>
      <c r="AL18" t="s">
        <v>86</v>
      </c>
      <c r="AM18" t="s">
        <v>109</v>
      </c>
      <c r="AN18" t="s">
        <v>121</v>
      </c>
      <c r="AO18" t="s">
        <v>61</v>
      </c>
      <c r="AP18" t="s">
        <v>91</v>
      </c>
      <c r="AQ18" t="s">
        <v>51</v>
      </c>
      <c r="AR18" t="s">
        <v>73</v>
      </c>
    </row>
    <row r="19" spans="1:44">
      <c r="A19">
        <v>18</v>
      </c>
      <c r="B19" s="37">
        <v>45219</v>
      </c>
      <c r="C19" s="39">
        <v>0.58333333333333304</v>
      </c>
      <c r="D19" t="s">
        <v>122</v>
      </c>
      <c r="E19" t="s">
        <v>123</v>
      </c>
      <c r="F19" t="s">
        <v>85</v>
      </c>
      <c r="G19" t="s">
        <v>57</v>
      </c>
      <c r="H19" t="s">
        <v>57</v>
      </c>
      <c r="I19" t="s">
        <v>48</v>
      </c>
      <c r="J19">
        <v>367</v>
      </c>
      <c r="K19">
        <v>9</v>
      </c>
      <c r="L19">
        <v>50</v>
      </c>
      <c r="M19">
        <v>1</v>
      </c>
      <c r="N19">
        <v>29</v>
      </c>
      <c r="O19">
        <v>19</v>
      </c>
      <c r="P19">
        <v>48</v>
      </c>
      <c r="Q19">
        <v>7.34</v>
      </c>
      <c r="R19">
        <v>7</v>
      </c>
      <c r="S19">
        <v>1</v>
      </c>
      <c r="T19">
        <v>11</v>
      </c>
      <c r="U19">
        <v>0</v>
      </c>
      <c r="V19">
        <v>0</v>
      </c>
      <c r="W19">
        <v>19</v>
      </c>
      <c r="X19">
        <v>305</v>
      </c>
      <c r="Y19">
        <v>10</v>
      </c>
      <c r="Z19">
        <v>45.3</v>
      </c>
      <c r="AA19">
        <v>1</v>
      </c>
      <c r="AB19">
        <v>34</v>
      </c>
      <c r="AC19">
        <v>6</v>
      </c>
      <c r="AD19">
        <v>40</v>
      </c>
      <c r="AE19">
        <v>6.7</v>
      </c>
      <c r="AF19">
        <v>10</v>
      </c>
      <c r="AG19">
        <v>1</v>
      </c>
      <c r="AH19">
        <v>14</v>
      </c>
      <c r="AI19">
        <v>0</v>
      </c>
      <c r="AJ19">
        <v>0</v>
      </c>
      <c r="AK19">
        <v>25</v>
      </c>
      <c r="AL19" t="s">
        <v>85</v>
      </c>
      <c r="AM19" t="s">
        <v>124</v>
      </c>
      <c r="AN19" t="s">
        <v>125</v>
      </c>
      <c r="AO19" t="s">
        <v>80</v>
      </c>
      <c r="AP19" t="s">
        <v>62</v>
      </c>
      <c r="AQ19" t="s">
        <v>100</v>
      </c>
      <c r="AR19" t="s">
        <v>92</v>
      </c>
    </row>
    <row r="20" spans="1:44">
      <c r="A20">
        <v>19</v>
      </c>
      <c r="B20" s="37">
        <v>45220</v>
      </c>
      <c r="C20" s="39">
        <v>0.4375</v>
      </c>
      <c r="D20" t="s">
        <v>104</v>
      </c>
      <c r="E20" t="s">
        <v>105</v>
      </c>
      <c r="F20" t="s">
        <v>58</v>
      </c>
      <c r="G20" t="s">
        <v>77</v>
      </c>
      <c r="H20" t="s">
        <v>58</v>
      </c>
      <c r="I20" t="s">
        <v>87</v>
      </c>
      <c r="J20">
        <v>262</v>
      </c>
      <c r="K20">
        <v>10</v>
      </c>
      <c r="L20">
        <v>49.4</v>
      </c>
      <c r="M20">
        <v>1</v>
      </c>
      <c r="N20">
        <v>14</v>
      </c>
      <c r="O20">
        <v>3</v>
      </c>
      <c r="P20">
        <v>17</v>
      </c>
      <c r="Q20">
        <v>5.27</v>
      </c>
      <c r="R20">
        <v>0</v>
      </c>
      <c r="S20">
        <v>13</v>
      </c>
      <c r="T20">
        <v>11</v>
      </c>
      <c r="U20">
        <v>0</v>
      </c>
      <c r="V20">
        <v>0</v>
      </c>
      <c r="W20">
        <v>24</v>
      </c>
      <c r="X20">
        <v>263</v>
      </c>
      <c r="Y20">
        <v>5</v>
      </c>
      <c r="Z20">
        <v>48.2</v>
      </c>
      <c r="AA20">
        <v>2</v>
      </c>
      <c r="AB20">
        <v>23</v>
      </c>
      <c r="AC20">
        <v>3</v>
      </c>
      <c r="AD20">
        <v>26</v>
      </c>
      <c r="AE20">
        <v>5.44</v>
      </c>
      <c r="AF20">
        <v>1</v>
      </c>
      <c r="AG20">
        <v>0</v>
      </c>
      <c r="AH20">
        <v>26</v>
      </c>
      <c r="AI20">
        <v>1</v>
      </c>
      <c r="AJ20">
        <v>5</v>
      </c>
      <c r="AK20">
        <v>33</v>
      </c>
      <c r="AL20" t="s">
        <v>77</v>
      </c>
      <c r="AM20" t="s">
        <v>113</v>
      </c>
      <c r="AN20" t="s">
        <v>126</v>
      </c>
      <c r="AO20" t="s">
        <v>72</v>
      </c>
      <c r="AP20" t="s">
        <v>103</v>
      </c>
      <c r="AQ20" t="s">
        <v>63</v>
      </c>
      <c r="AR20" t="s">
        <v>64</v>
      </c>
    </row>
    <row r="21" spans="1:44">
      <c r="A21">
        <v>20</v>
      </c>
      <c r="B21" s="37">
        <v>45220</v>
      </c>
      <c r="C21" s="39">
        <v>0.58333333333333304</v>
      </c>
      <c r="D21" t="s">
        <v>127</v>
      </c>
      <c r="E21" t="s">
        <v>128</v>
      </c>
      <c r="F21" t="s">
        <v>76</v>
      </c>
      <c r="G21" t="s">
        <v>46</v>
      </c>
      <c r="H21" t="s">
        <v>46</v>
      </c>
      <c r="I21" t="s">
        <v>48</v>
      </c>
      <c r="J21">
        <v>399</v>
      </c>
      <c r="K21">
        <v>7</v>
      </c>
      <c r="L21">
        <v>50</v>
      </c>
      <c r="M21">
        <v>2</v>
      </c>
      <c r="N21">
        <v>38</v>
      </c>
      <c r="O21">
        <v>13</v>
      </c>
      <c r="P21">
        <v>51</v>
      </c>
      <c r="Q21">
        <v>7.98</v>
      </c>
      <c r="R21">
        <v>9</v>
      </c>
      <c r="S21">
        <v>0</v>
      </c>
      <c r="T21">
        <v>5</v>
      </c>
      <c r="U21">
        <v>1</v>
      </c>
      <c r="V21">
        <v>0</v>
      </c>
      <c r="W21">
        <v>15</v>
      </c>
      <c r="X21">
        <v>170</v>
      </c>
      <c r="Y21">
        <v>10</v>
      </c>
      <c r="Z21">
        <v>22</v>
      </c>
      <c r="AA21">
        <v>1</v>
      </c>
      <c r="AB21">
        <v>18</v>
      </c>
      <c r="AC21">
        <v>9</v>
      </c>
      <c r="AD21">
        <v>27</v>
      </c>
      <c r="AE21">
        <v>7.72</v>
      </c>
      <c r="AF21">
        <v>3</v>
      </c>
      <c r="AG21">
        <v>2</v>
      </c>
      <c r="AH21">
        <v>9</v>
      </c>
      <c r="AI21">
        <v>1</v>
      </c>
      <c r="AJ21">
        <v>0</v>
      </c>
      <c r="AK21">
        <v>15</v>
      </c>
      <c r="AL21" t="s">
        <v>76</v>
      </c>
      <c r="AM21" t="s">
        <v>129</v>
      </c>
      <c r="AN21" t="s">
        <v>130</v>
      </c>
      <c r="AO21" t="s">
        <v>52</v>
      </c>
      <c r="AP21" t="s">
        <v>51</v>
      </c>
      <c r="AQ21" t="s">
        <v>96</v>
      </c>
      <c r="AR21" t="s">
        <v>54</v>
      </c>
    </row>
    <row r="22" spans="1:44">
      <c r="A22">
        <v>21</v>
      </c>
      <c r="B22" s="37">
        <v>45221</v>
      </c>
      <c r="C22" s="39">
        <v>0.58333333333333304</v>
      </c>
      <c r="D22" t="s">
        <v>65</v>
      </c>
      <c r="E22" t="s">
        <v>66</v>
      </c>
      <c r="F22" t="s">
        <v>47</v>
      </c>
      <c r="G22" t="s">
        <v>86</v>
      </c>
      <c r="H22" t="s">
        <v>86</v>
      </c>
      <c r="I22" t="s">
        <v>48</v>
      </c>
      <c r="J22">
        <v>273</v>
      </c>
      <c r="K22">
        <v>10</v>
      </c>
      <c r="L22">
        <v>50</v>
      </c>
      <c r="M22">
        <v>0</v>
      </c>
      <c r="N22">
        <v>19</v>
      </c>
      <c r="O22">
        <v>7</v>
      </c>
      <c r="P22">
        <v>26</v>
      </c>
      <c r="Q22">
        <v>5.46</v>
      </c>
      <c r="R22">
        <v>1</v>
      </c>
      <c r="S22">
        <v>0</v>
      </c>
      <c r="T22">
        <v>4</v>
      </c>
      <c r="U22">
        <v>0</v>
      </c>
      <c r="V22">
        <v>0</v>
      </c>
      <c r="W22">
        <v>5</v>
      </c>
      <c r="X22">
        <v>274</v>
      </c>
      <c r="Y22">
        <v>6</v>
      </c>
      <c r="Z22">
        <v>48</v>
      </c>
      <c r="AA22">
        <v>2</v>
      </c>
      <c r="AB22">
        <v>29</v>
      </c>
      <c r="AC22">
        <v>7</v>
      </c>
      <c r="AD22">
        <v>36</v>
      </c>
      <c r="AE22">
        <v>5.7</v>
      </c>
      <c r="AF22">
        <v>5</v>
      </c>
      <c r="AG22">
        <v>3</v>
      </c>
      <c r="AH22">
        <v>7</v>
      </c>
      <c r="AI22">
        <v>0</v>
      </c>
      <c r="AJ22">
        <v>0</v>
      </c>
      <c r="AK22">
        <v>15</v>
      </c>
      <c r="AL22" t="s">
        <v>86</v>
      </c>
      <c r="AM22" t="s">
        <v>131</v>
      </c>
      <c r="AN22" t="s">
        <v>132</v>
      </c>
      <c r="AO22" t="s">
        <v>91</v>
      </c>
      <c r="AP22" t="s">
        <v>82</v>
      </c>
      <c r="AQ22" t="s">
        <v>53</v>
      </c>
      <c r="AR22" t="s">
        <v>73</v>
      </c>
    </row>
    <row r="23" spans="1:44">
      <c r="A23">
        <v>22</v>
      </c>
      <c r="B23" s="37">
        <v>45222</v>
      </c>
      <c r="C23" s="39">
        <v>0.58333333333333304</v>
      </c>
      <c r="D23" t="s">
        <v>83</v>
      </c>
      <c r="E23" t="s">
        <v>84</v>
      </c>
      <c r="F23" t="s">
        <v>57</v>
      </c>
      <c r="G23" t="s">
        <v>67</v>
      </c>
      <c r="H23" t="s">
        <v>57</v>
      </c>
      <c r="I23" t="s">
        <v>87</v>
      </c>
      <c r="J23">
        <v>282</v>
      </c>
      <c r="K23">
        <v>7</v>
      </c>
      <c r="L23">
        <v>50</v>
      </c>
      <c r="M23">
        <v>2</v>
      </c>
      <c r="N23">
        <v>17</v>
      </c>
      <c r="O23">
        <v>9</v>
      </c>
      <c r="P23">
        <v>26</v>
      </c>
      <c r="Q23">
        <v>5.64</v>
      </c>
      <c r="R23">
        <v>0</v>
      </c>
      <c r="S23">
        <v>0</v>
      </c>
      <c r="T23">
        <v>8</v>
      </c>
      <c r="U23">
        <v>1</v>
      </c>
      <c r="V23">
        <v>0</v>
      </c>
      <c r="W23">
        <v>9</v>
      </c>
      <c r="X23">
        <v>286</v>
      </c>
      <c r="Y23">
        <v>2</v>
      </c>
      <c r="Z23">
        <v>49</v>
      </c>
      <c r="AA23">
        <v>0</v>
      </c>
      <c r="AB23">
        <v>28</v>
      </c>
      <c r="AC23">
        <v>3</v>
      </c>
      <c r="AD23">
        <v>31</v>
      </c>
      <c r="AE23">
        <v>5.83</v>
      </c>
      <c r="AF23">
        <v>4</v>
      </c>
      <c r="AG23">
        <v>0</v>
      </c>
      <c r="AH23">
        <v>12</v>
      </c>
      <c r="AI23">
        <v>1</v>
      </c>
      <c r="AJ23">
        <v>0</v>
      </c>
      <c r="AK23">
        <v>17</v>
      </c>
      <c r="AL23" t="s">
        <v>67</v>
      </c>
      <c r="AM23" t="s">
        <v>101</v>
      </c>
      <c r="AN23" t="s">
        <v>133</v>
      </c>
      <c r="AO23" t="s">
        <v>96</v>
      </c>
      <c r="AP23" t="s">
        <v>63</v>
      </c>
      <c r="AQ23" t="s">
        <v>90</v>
      </c>
      <c r="AR23" t="s">
        <v>92</v>
      </c>
    </row>
    <row r="24" spans="1:44">
      <c r="A24">
        <v>23</v>
      </c>
      <c r="B24" s="37">
        <v>45223</v>
      </c>
      <c r="C24" s="39">
        <v>0.58333333333333304</v>
      </c>
      <c r="D24" t="s">
        <v>127</v>
      </c>
      <c r="E24" t="s">
        <v>128</v>
      </c>
      <c r="F24" t="s">
        <v>76</v>
      </c>
      <c r="G24" t="s">
        <v>68</v>
      </c>
      <c r="H24" t="s">
        <v>76</v>
      </c>
      <c r="I24" t="s">
        <v>87</v>
      </c>
      <c r="J24">
        <v>382</v>
      </c>
      <c r="K24">
        <v>5</v>
      </c>
      <c r="L24">
        <v>50</v>
      </c>
      <c r="M24">
        <v>2</v>
      </c>
      <c r="N24">
        <v>26</v>
      </c>
      <c r="O24">
        <v>19</v>
      </c>
      <c r="P24">
        <v>45</v>
      </c>
      <c r="Q24">
        <v>7.64</v>
      </c>
      <c r="R24">
        <v>2</v>
      </c>
      <c r="S24">
        <v>0</v>
      </c>
      <c r="T24">
        <v>13</v>
      </c>
      <c r="U24">
        <v>2</v>
      </c>
      <c r="V24">
        <v>0</v>
      </c>
      <c r="W24">
        <v>17</v>
      </c>
      <c r="X24">
        <v>233</v>
      </c>
      <c r="Y24">
        <v>10</v>
      </c>
      <c r="Z24">
        <v>46.4</v>
      </c>
      <c r="AA24">
        <v>0</v>
      </c>
      <c r="AB24">
        <v>25</v>
      </c>
      <c r="AC24">
        <v>5</v>
      </c>
      <c r="AD24">
        <v>30</v>
      </c>
      <c r="AE24">
        <v>4.99</v>
      </c>
      <c r="AF24">
        <v>3</v>
      </c>
      <c r="AG24">
        <v>0</v>
      </c>
      <c r="AH24">
        <v>7</v>
      </c>
      <c r="AI24">
        <v>0</v>
      </c>
      <c r="AJ24">
        <v>0</v>
      </c>
      <c r="AK24">
        <v>10</v>
      </c>
      <c r="AL24" t="s">
        <v>76</v>
      </c>
      <c r="AM24" t="s">
        <v>117</v>
      </c>
      <c r="AN24" t="s">
        <v>107</v>
      </c>
      <c r="AO24" t="s">
        <v>100</v>
      </c>
      <c r="AP24" t="s">
        <v>71</v>
      </c>
      <c r="AQ24" t="s">
        <v>53</v>
      </c>
      <c r="AR24" t="s">
        <v>64</v>
      </c>
    </row>
    <row r="25" spans="1:44">
      <c r="A25">
        <v>24</v>
      </c>
      <c r="B25" s="37">
        <v>45224</v>
      </c>
      <c r="C25" s="39">
        <v>0.58333333333333304</v>
      </c>
      <c r="D25" t="s">
        <v>74</v>
      </c>
      <c r="E25" t="s">
        <v>75</v>
      </c>
      <c r="F25" t="s">
        <v>85</v>
      </c>
      <c r="G25" t="s">
        <v>58</v>
      </c>
      <c r="H25" t="s">
        <v>85</v>
      </c>
      <c r="I25" t="s">
        <v>87</v>
      </c>
      <c r="J25">
        <v>399</v>
      </c>
      <c r="K25">
        <v>8</v>
      </c>
      <c r="L25">
        <v>50</v>
      </c>
      <c r="M25">
        <v>0</v>
      </c>
      <c r="N25">
        <v>42</v>
      </c>
      <c r="O25">
        <v>15</v>
      </c>
      <c r="P25">
        <v>57</v>
      </c>
      <c r="Q25">
        <v>7.98</v>
      </c>
      <c r="R25">
        <v>0</v>
      </c>
      <c r="S25">
        <v>0</v>
      </c>
      <c r="T25">
        <v>7</v>
      </c>
      <c r="U25">
        <v>0</v>
      </c>
      <c r="V25">
        <v>0</v>
      </c>
      <c r="W25">
        <v>7</v>
      </c>
      <c r="X25">
        <v>90</v>
      </c>
      <c r="Y25">
        <v>10</v>
      </c>
      <c r="Z25">
        <v>21</v>
      </c>
      <c r="AA25">
        <v>0</v>
      </c>
      <c r="AB25">
        <v>13</v>
      </c>
      <c r="AC25">
        <v>0</v>
      </c>
      <c r="AD25">
        <v>13</v>
      </c>
      <c r="AE25">
        <v>4.28</v>
      </c>
      <c r="AF25">
        <v>0</v>
      </c>
      <c r="AG25">
        <v>0</v>
      </c>
      <c r="AH25">
        <v>11</v>
      </c>
      <c r="AI25">
        <v>1</v>
      </c>
      <c r="AJ25">
        <v>0</v>
      </c>
      <c r="AK25">
        <v>12</v>
      </c>
      <c r="AL25" t="s">
        <v>85</v>
      </c>
      <c r="AM25" t="s">
        <v>134</v>
      </c>
      <c r="AN25" t="s">
        <v>135</v>
      </c>
      <c r="AO25" t="s">
        <v>81</v>
      </c>
      <c r="AP25" t="s">
        <v>82</v>
      </c>
      <c r="AQ25" t="s">
        <v>103</v>
      </c>
      <c r="AR25" t="s">
        <v>73</v>
      </c>
    </row>
    <row r="26" spans="1:44">
      <c r="A26">
        <v>25</v>
      </c>
      <c r="B26" s="37">
        <v>45225</v>
      </c>
      <c r="C26" s="39">
        <v>0.58333333333333304</v>
      </c>
      <c r="D26" t="s">
        <v>122</v>
      </c>
      <c r="E26" t="s">
        <v>123</v>
      </c>
      <c r="F26" t="s">
        <v>46</v>
      </c>
      <c r="G26" t="s">
        <v>77</v>
      </c>
      <c r="H26" t="s">
        <v>46</v>
      </c>
      <c r="I26" t="s">
        <v>87</v>
      </c>
      <c r="J26">
        <v>156</v>
      </c>
      <c r="K26">
        <v>10</v>
      </c>
      <c r="L26">
        <v>33.200000000000003</v>
      </c>
      <c r="M26">
        <v>0</v>
      </c>
      <c r="N26">
        <v>19</v>
      </c>
      <c r="O26">
        <v>1</v>
      </c>
      <c r="P26">
        <v>20</v>
      </c>
      <c r="Q26">
        <v>4.68</v>
      </c>
      <c r="R26">
        <v>0</v>
      </c>
      <c r="S26">
        <v>0</v>
      </c>
      <c r="T26">
        <v>3</v>
      </c>
      <c r="U26">
        <v>0</v>
      </c>
      <c r="V26">
        <v>0</v>
      </c>
      <c r="W26">
        <v>3</v>
      </c>
      <c r="X26">
        <v>160</v>
      </c>
      <c r="Y26">
        <v>2</v>
      </c>
      <c r="Z26">
        <v>25.4</v>
      </c>
      <c r="AA26">
        <v>2</v>
      </c>
      <c r="AB26">
        <v>17</v>
      </c>
      <c r="AC26">
        <v>3</v>
      </c>
      <c r="AD26">
        <v>20</v>
      </c>
      <c r="AE26">
        <v>6.23</v>
      </c>
      <c r="AF26">
        <v>3</v>
      </c>
      <c r="AG26">
        <v>0</v>
      </c>
      <c r="AH26">
        <v>4</v>
      </c>
      <c r="AI26">
        <v>0</v>
      </c>
      <c r="AJ26">
        <v>0</v>
      </c>
      <c r="AK26">
        <v>7</v>
      </c>
      <c r="AL26" t="s">
        <v>77</v>
      </c>
      <c r="AM26" t="s">
        <v>101</v>
      </c>
      <c r="AN26" t="s">
        <v>136</v>
      </c>
      <c r="AO26" t="s">
        <v>62</v>
      </c>
      <c r="AP26" t="s">
        <v>61</v>
      </c>
      <c r="AQ26" t="s">
        <v>72</v>
      </c>
      <c r="AR26" t="s">
        <v>54</v>
      </c>
    </row>
    <row r="27" spans="1:44">
      <c r="A27">
        <v>26</v>
      </c>
      <c r="B27" s="37">
        <v>45226</v>
      </c>
      <c r="C27" s="39">
        <v>0.58333333333333304</v>
      </c>
      <c r="D27" t="s">
        <v>83</v>
      </c>
      <c r="E27" t="s">
        <v>84</v>
      </c>
      <c r="F27" t="s">
        <v>57</v>
      </c>
      <c r="G27" t="s">
        <v>76</v>
      </c>
      <c r="H27" t="s">
        <v>57</v>
      </c>
      <c r="I27" t="s">
        <v>87</v>
      </c>
      <c r="J27">
        <v>270</v>
      </c>
      <c r="K27">
        <v>10</v>
      </c>
      <c r="L27">
        <v>46.4</v>
      </c>
      <c r="M27">
        <v>1</v>
      </c>
      <c r="N27">
        <v>23</v>
      </c>
      <c r="O27">
        <v>8</v>
      </c>
      <c r="P27">
        <v>31</v>
      </c>
      <c r="Q27">
        <v>5.78</v>
      </c>
      <c r="R27">
        <v>5</v>
      </c>
      <c r="S27">
        <v>1</v>
      </c>
      <c r="T27">
        <v>15</v>
      </c>
      <c r="U27">
        <v>0</v>
      </c>
      <c r="V27">
        <v>0</v>
      </c>
      <c r="W27">
        <v>21</v>
      </c>
      <c r="X27">
        <v>271</v>
      </c>
      <c r="Y27">
        <v>9</v>
      </c>
      <c r="Z27">
        <v>47.2</v>
      </c>
      <c r="AA27">
        <v>1</v>
      </c>
      <c r="AB27">
        <v>21</v>
      </c>
      <c r="AC27">
        <v>8</v>
      </c>
      <c r="AD27">
        <v>29</v>
      </c>
      <c r="AE27">
        <v>5.22</v>
      </c>
      <c r="AF27">
        <v>0</v>
      </c>
      <c r="AG27">
        <v>4</v>
      </c>
      <c r="AH27">
        <v>11</v>
      </c>
      <c r="AI27">
        <v>4</v>
      </c>
      <c r="AJ27">
        <v>0</v>
      </c>
      <c r="AK27">
        <v>19</v>
      </c>
      <c r="AL27" t="s">
        <v>76</v>
      </c>
      <c r="AM27" t="s">
        <v>137</v>
      </c>
      <c r="AN27" t="s">
        <v>138</v>
      </c>
      <c r="AO27" t="s">
        <v>96</v>
      </c>
      <c r="AP27" t="s">
        <v>100</v>
      </c>
      <c r="AQ27" t="s">
        <v>80</v>
      </c>
      <c r="AR27" t="s">
        <v>92</v>
      </c>
    </row>
    <row r="28" spans="1:44">
      <c r="A28">
        <v>27</v>
      </c>
      <c r="B28" s="37">
        <v>45227</v>
      </c>
      <c r="C28" s="39">
        <v>0.4375</v>
      </c>
      <c r="D28" t="s">
        <v>65</v>
      </c>
      <c r="E28" t="s">
        <v>66</v>
      </c>
      <c r="F28" t="s">
        <v>85</v>
      </c>
      <c r="G28" t="s">
        <v>47</v>
      </c>
      <c r="H28" t="s">
        <v>47</v>
      </c>
      <c r="I28" t="s">
        <v>48</v>
      </c>
      <c r="J28">
        <v>388</v>
      </c>
      <c r="K28">
        <v>10</v>
      </c>
      <c r="L28">
        <v>49.2</v>
      </c>
      <c r="M28">
        <v>0</v>
      </c>
      <c r="N28">
        <v>32</v>
      </c>
      <c r="O28">
        <v>20</v>
      </c>
      <c r="P28">
        <v>52</v>
      </c>
      <c r="Q28">
        <v>7.86</v>
      </c>
      <c r="R28">
        <v>4</v>
      </c>
      <c r="S28">
        <v>0</v>
      </c>
      <c r="T28">
        <v>22</v>
      </c>
      <c r="U28">
        <v>0</v>
      </c>
      <c r="V28">
        <v>0</v>
      </c>
      <c r="W28">
        <v>26</v>
      </c>
      <c r="X28">
        <v>383</v>
      </c>
      <c r="Y28">
        <v>9</v>
      </c>
      <c r="Z28">
        <v>50</v>
      </c>
      <c r="AA28">
        <v>0</v>
      </c>
      <c r="AB28">
        <v>33</v>
      </c>
      <c r="AC28">
        <v>12</v>
      </c>
      <c r="AD28">
        <v>45</v>
      </c>
      <c r="AE28">
        <v>7.66</v>
      </c>
      <c r="AF28">
        <v>0</v>
      </c>
      <c r="AG28">
        <v>1</v>
      </c>
      <c r="AH28">
        <v>6</v>
      </c>
      <c r="AI28">
        <v>2</v>
      </c>
      <c r="AJ28">
        <v>0</v>
      </c>
      <c r="AK28">
        <v>9</v>
      </c>
      <c r="AL28" t="s">
        <v>85</v>
      </c>
      <c r="AM28" t="s">
        <v>139</v>
      </c>
      <c r="AN28" t="s">
        <v>140</v>
      </c>
      <c r="AO28" t="s">
        <v>81</v>
      </c>
      <c r="AP28" t="s">
        <v>103</v>
      </c>
      <c r="AQ28" t="s">
        <v>52</v>
      </c>
      <c r="AR28" t="s">
        <v>73</v>
      </c>
    </row>
    <row r="29" spans="1:44">
      <c r="A29">
        <v>28</v>
      </c>
      <c r="B29" s="37">
        <v>45227</v>
      </c>
      <c r="C29" s="39">
        <v>0.58333333333333304</v>
      </c>
      <c r="D29" t="s">
        <v>141</v>
      </c>
      <c r="E29" t="s">
        <v>56</v>
      </c>
      <c r="F29" t="s">
        <v>58</v>
      </c>
      <c r="G29" t="s">
        <v>68</v>
      </c>
      <c r="H29" t="s">
        <v>58</v>
      </c>
      <c r="I29" t="s">
        <v>87</v>
      </c>
      <c r="J29">
        <v>142</v>
      </c>
      <c r="K29">
        <v>10</v>
      </c>
      <c r="L29">
        <v>42.2</v>
      </c>
      <c r="M29">
        <v>5</v>
      </c>
      <c r="N29">
        <v>22</v>
      </c>
      <c r="O29">
        <v>2</v>
      </c>
      <c r="P29">
        <v>24</v>
      </c>
      <c r="Q29">
        <v>3.35</v>
      </c>
      <c r="R29">
        <v>0</v>
      </c>
      <c r="S29">
        <v>0</v>
      </c>
      <c r="T29">
        <v>6</v>
      </c>
      <c r="U29">
        <v>0</v>
      </c>
      <c r="V29">
        <v>0</v>
      </c>
      <c r="W29">
        <v>6</v>
      </c>
      <c r="X29">
        <v>229</v>
      </c>
      <c r="Y29">
        <v>10</v>
      </c>
      <c r="Z29">
        <v>50</v>
      </c>
      <c r="AA29">
        <v>3</v>
      </c>
      <c r="AB29">
        <v>16</v>
      </c>
      <c r="AC29">
        <v>2</v>
      </c>
      <c r="AD29">
        <v>18</v>
      </c>
      <c r="AE29">
        <v>4.58</v>
      </c>
      <c r="AF29">
        <v>1</v>
      </c>
      <c r="AG29">
        <v>4</v>
      </c>
      <c r="AH29">
        <v>7</v>
      </c>
      <c r="AI29">
        <v>0</v>
      </c>
      <c r="AJ29">
        <v>0</v>
      </c>
      <c r="AK29">
        <v>12</v>
      </c>
      <c r="AL29" t="s">
        <v>58</v>
      </c>
      <c r="AM29" t="s">
        <v>142</v>
      </c>
      <c r="AN29" t="s">
        <v>143</v>
      </c>
      <c r="AO29" t="s">
        <v>71</v>
      </c>
      <c r="AP29" t="s">
        <v>53</v>
      </c>
      <c r="AQ29" t="s">
        <v>51</v>
      </c>
      <c r="AR29" t="s">
        <v>64</v>
      </c>
    </row>
    <row r="30" spans="1:44">
      <c r="A30">
        <v>29</v>
      </c>
      <c r="B30" s="37">
        <v>45228</v>
      </c>
      <c r="C30" s="39">
        <v>0.58333333333333304</v>
      </c>
      <c r="D30" t="s">
        <v>104</v>
      </c>
      <c r="E30" t="s">
        <v>105</v>
      </c>
      <c r="F30" t="s">
        <v>86</v>
      </c>
      <c r="G30" t="s">
        <v>46</v>
      </c>
      <c r="H30" t="s">
        <v>46</v>
      </c>
      <c r="I30" t="s">
        <v>48</v>
      </c>
      <c r="J30">
        <v>229</v>
      </c>
      <c r="K30">
        <v>9</v>
      </c>
      <c r="L30">
        <v>50</v>
      </c>
      <c r="M30">
        <v>4</v>
      </c>
      <c r="N30">
        <v>20</v>
      </c>
      <c r="O30">
        <v>4</v>
      </c>
      <c r="P30">
        <v>24</v>
      </c>
      <c r="Q30">
        <v>4.58</v>
      </c>
      <c r="R30">
        <v>2</v>
      </c>
      <c r="S30">
        <v>0</v>
      </c>
      <c r="T30">
        <v>6</v>
      </c>
      <c r="U30">
        <v>0</v>
      </c>
      <c r="V30">
        <v>0</v>
      </c>
      <c r="W30">
        <v>8</v>
      </c>
      <c r="X30">
        <v>129</v>
      </c>
      <c r="Y30">
        <v>10</v>
      </c>
      <c r="Z30">
        <v>34.5</v>
      </c>
      <c r="AA30">
        <v>5</v>
      </c>
      <c r="AB30">
        <v>10</v>
      </c>
      <c r="AC30">
        <v>3</v>
      </c>
      <c r="AD30">
        <v>13</v>
      </c>
      <c r="AE30">
        <v>3.7</v>
      </c>
      <c r="AF30">
        <v>0</v>
      </c>
      <c r="AG30">
        <v>4</v>
      </c>
      <c r="AH30">
        <v>3</v>
      </c>
      <c r="AI30">
        <v>0</v>
      </c>
      <c r="AJ30">
        <v>0</v>
      </c>
      <c r="AK30">
        <v>7</v>
      </c>
      <c r="AL30" t="s">
        <v>86</v>
      </c>
      <c r="AM30" t="s">
        <v>144</v>
      </c>
      <c r="AN30" t="s">
        <v>102</v>
      </c>
      <c r="AO30" t="s">
        <v>63</v>
      </c>
      <c r="AP30" t="s">
        <v>61</v>
      </c>
      <c r="AQ30" t="s">
        <v>72</v>
      </c>
      <c r="AR30" t="s">
        <v>92</v>
      </c>
    </row>
    <row r="31" spans="1:44">
      <c r="A31">
        <v>30</v>
      </c>
      <c r="B31" s="37">
        <v>45229</v>
      </c>
      <c r="C31" s="39">
        <v>0.58333333333333304</v>
      </c>
      <c r="D31" t="s">
        <v>119</v>
      </c>
      <c r="E31" t="s">
        <v>120</v>
      </c>
      <c r="F31" t="s">
        <v>77</v>
      </c>
      <c r="G31" t="s">
        <v>67</v>
      </c>
      <c r="H31" t="s">
        <v>67</v>
      </c>
      <c r="I31" t="s">
        <v>48</v>
      </c>
      <c r="J31">
        <v>241</v>
      </c>
      <c r="K31">
        <v>10</v>
      </c>
      <c r="L31">
        <v>49.3</v>
      </c>
      <c r="M31">
        <v>0</v>
      </c>
      <c r="N31">
        <v>19</v>
      </c>
      <c r="O31">
        <v>2</v>
      </c>
      <c r="P31">
        <v>21</v>
      </c>
      <c r="Q31">
        <v>4.8600000000000003</v>
      </c>
      <c r="R31">
        <v>1</v>
      </c>
      <c r="S31">
        <v>0</v>
      </c>
      <c r="T31">
        <v>9</v>
      </c>
      <c r="U31">
        <v>0</v>
      </c>
      <c r="V31">
        <v>0</v>
      </c>
      <c r="W31">
        <v>10</v>
      </c>
      <c r="X31">
        <v>242</v>
      </c>
      <c r="Y31">
        <v>3</v>
      </c>
      <c r="Z31">
        <v>45.2</v>
      </c>
      <c r="AA31">
        <v>1</v>
      </c>
      <c r="AB31">
        <v>19</v>
      </c>
      <c r="AC31">
        <v>5</v>
      </c>
      <c r="AD31">
        <v>24</v>
      </c>
      <c r="AE31">
        <v>5.33</v>
      </c>
      <c r="AF31">
        <v>2</v>
      </c>
      <c r="AG31">
        <v>0</v>
      </c>
      <c r="AH31">
        <v>9</v>
      </c>
      <c r="AI31">
        <v>0</v>
      </c>
      <c r="AJ31">
        <v>0</v>
      </c>
      <c r="AK31">
        <v>11</v>
      </c>
      <c r="AL31" t="s">
        <v>67</v>
      </c>
      <c r="AM31" t="s">
        <v>109</v>
      </c>
      <c r="AN31" t="s">
        <v>145</v>
      </c>
      <c r="AO31" t="s">
        <v>80</v>
      </c>
      <c r="AP31" t="s">
        <v>90</v>
      </c>
      <c r="AQ31" t="s">
        <v>100</v>
      </c>
      <c r="AR31" t="s">
        <v>54</v>
      </c>
    </row>
    <row r="32" spans="1:44">
      <c r="A32">
        <v>31</v>
      </c>
      <c r="B32" s="29" t="s">
        <v>146</v>
      </c>
      <c r="C32" s="39">
        <v>0.58333333333333304</v>
      </c>
      <c r="D32" t="s">
        <v>141</v>
      </c>
      <c r="E32" t="s">
        <v>56</v>
      </c>
      <c r="F32" t="s">
        <v>68</v>
      </c>
      <c r="G32" t="s">
        <v>57</v>
      </c>
      <c r="H32" t="s">
        <v>68</v>
      </c>
      <c r="I32" t="s">
        <v>87</v>
      </c>
      <c r="J32">
        <v>205</v>
      </c>
      <c r="K32">
        <v>3</v>
      </c>
      <c r="L32">
        <v>32.299999999999997</v>
      </c>
      <c r="M32">
        <v>2</v>
      </c>
      <c r="N32">
        <v>19</v>
      </c>
      <c r="O32">
        <v>3</v>
      </c>
      <c r="P32">
        <v>22</v>
      </c>
      <c r="Q32">
        <v>6.3</v>
      </c>
      <c r="R32">
        <v>2</v>
      </c>
      <c r="S32">
        <v>0</v>
      </c>
      <c r="T32">
        <v>2</v>
      </c>
      <c r="U32">
        <v>0</v>
      </c>
      <c r="V32">
        <v>0</v>
      </c>
      <c r="W32">
        <v>4</v>
      </c>
      <c r="X32">
        <v>204</v>
      </c>
      <c r="Y32">
        <v>10</v>
      </c>
      <c r="Z32">
        <v>45.1</v>
      </c>
      <c r="AA32">
        <v>2</v>
      </c>
      <c r="AB32">
        <v>19</v>
      </c>
      <c r="AC32">
        <v>9</v>
      </c>
      <c r="AD32">
        <v>28</v>
      </c>
      <c r="AE32">
        <v>4.51</v>
      </c>
      <c r="AF32">
        <v>4</v>
      </c>
      <c r="AG32">
        <v>0</v>
      </c>
      <c r="AH32">
        <v>5</v>
      </c>
      <c r="AI32">
        <v>0</v>
      </c>
      <c r="AJ32">
        <v>0</v>
      </c>
      <c r="AK32">
        <v>9</v>
      </c>
      <c r="AL32" t="s">
        <v>57</v>
      </c>
      <c r="AM32" t="s">
        <v>109</v>
      </c>
      <c r="AN32" t="s">
        <v>147</v>
      </c>
      <c r="AO32" t="s">
        <v>91</v>
      </c>
      <c r="AP32" t="s">
        <v>52</v>
      </c>
      <c r="AQ32" t="s">
        <v>61</v>
      </c>
      <c r="AR32" t="s">
        <v>73</v>
      </c>
    </row>
    <row r="33" spans="1:44">
      <c r="A33">
        <v>32</v>
      </c>
      <c r="B33" s="37">
        <v>45231</v>
      </c>
      <c r="C33" s="39">
        <v>0.58333333333333304</v>
      </c>
      <c r="D33" t="s">
        <v>119</v>
      </c>
      <c r="E33" t="s">
        <v>120</v>
      </c>
      <c r="F33" t="s">
        <v>76</v>
      </c>
      <c r="G33" t="s">
        <v>47</v>
      </c>
      <c r="H33" t="s">
        <v>47</v>
      </c>
      <c r="I33" t="s">
        <v>48</v>
      </c>
      <c r="J33">
        <v>357</v>
      </c>
      <c r="K33">
        <v>4</v>
      </c>
      <c r="L33">
        <v>50</v>
      </c>
      <c r="M33">
        <v>4</v>
      </c>
      <c r="N33">
        <v>26</v>
      </c>
      <c r="O33">
        <v>15</v>
      </c>
      <c r="P33">
        <v>41</v>
      </c>
      <c r="Q33">
        <v>7.14</v>
      </c>
      <c r="R33">
        <v>1</v>
      </c>
      <c r="S33">
        <v>4</v>
      </c>
      <c r="T33">
        <v>6</v>
      </c>
      <c r="U33">
        <v>1</v>
      </c>
      <c r="V33">
        <v>0</v>
      </c>
      <c r="W33">
        <v>12</v>
      </c>
      <c r="X33">
        <v>167</v>
      </c>
      <c r="Y33">
        <v>10</v>
      </c>
      <c r="Z33">
        <v>35.299999999999997</v>
      </c>
      <c r="AA33">
        <v>1</v>
      </c>
      <c r="AB33">
        <v>17</v>
      </c>
      <c r="AC33">
        <v>4</v>
      </c>
      <c r="AD33">
        <v>21</v>
      </c>
      <c r="AE33">
        <v>4.7</v>
      </c>
      <c r="AF33">
        <v>4</v>
      </c>
      <c r="AG33">
        <v>0</v>
      </c>
      <c r="AH33">
        <v>8</v>
      </c>
      <c r="AI33">
        <v>0</v>
      </c>
      <c r="AJ33">
        <v>0</v>
      </c>
      <c r="AK33">
        <v>12</v>
      </c>
      <c r="AL33" t="s">
        <v>76</v>
      </c>
      <c r="AM33" t="s">
        <v>148</v>
      </c>
      <c r="AN33" t="s">
        <v>149</v>
      </c>
      <c r="AO33" t="s">
        <v>51</v>
      </c>
      <c r="AP33" t="s">
        <v>72</v>
      </c>
      <c r="AQ33" t="s">
        <v>81</v>
      </c>
      <c r="AR33" t="s">
        <v>92</v>
      </c>
    </row>
    <row r="34" spans="1:44">
      <c r="A34">
        <v>33</v>
      </c>
      <c r="B34" s="37">
        <v>45232</v>
      </c>
      <c r="C34" s="39">
        <v>0.58333333333333304</v>
      </c>
      <c r="D34" t="s">
        <v>127</v>
      </c>
      <c r="E34" t="s">
        <v>128</v>
      </c>
      <c r="F34" t="s">
        <v>86</v>
      </c>
      <c r="G34" t="s">
        <v>77</v>
      </c>
      <c r="H34" t="s">
        <v>77</v>
      </c>
      <c r="I34" t="s">
        <v>48</v>
      </c>
      <c r="J34">
        <v>357</v>
      </c>
      <c r="K34">
        <v>8</v>
      </c>
      <c r="L34">
        <v>50</v>
      </c>
      <c r="M34">
        <v>4</v>
      </c>
      <c r="N34">
        <v>31</v>
      </c>
      <c r="O34">
        <v>9</v>
      </c>
      <c r="P34">
        <v>40</v>
      </c>
      <c r="Q34">
        <v>7.14</v>
      </c>
      <c r="R34">
        <v>1</v>
      </c>
      <c r="S34">
        <v>5</v>
      </c>
      <c r="T34">
        <v>4</v>
      </c>
      <c r="U34">
        <v>0</v>
      </c>
      <c r="V34">
        <v>0</v>
      </c>
      <c r="W34">
        <v>10</v>
      </c>
      <c r="X34">
        <v>55</v>
      </c>
      <c r="Y34">
        <v>10</v>
      </c>
      <c r="Z34">
        <v>19.399999999999999</v>
      </c>
      <c r="AA34">
        <v>2</v>
      </c>
      <c r="AB34">
        <v>6</v>
      </c>
      <c r="AC34">
        <v>0</v>
      </c>
      <c r="AD34">
        <v>6</v>
      </c>
      <c r="AE34">
        <v>2.79</v>
      </c>
      <c r="AF34">
        <v>6</v>
      </c>
      <c r="AG34">
        <v>5</v>
      </c>
      <c r="AH34">
        <v>8</v>
      </c>
      <c r="AI34">
        <v>1</v>
      </c>
      <c r="AJ34">
        <v>0</v>
      </c>
      <c r="AK34">
        <v>20</v>
      </c>
      <c r="AL34" t="s">
        <v>86</v>
      </c>
      <c r="AM34" t="s">
        <v>150</v>
      </c>
      <c r="AN34" t="s">
        <v>132</v>
      </c>
      <c r="AO34" t="s">
        <v>62</v>
      </c>
      <c r="AP34" t="s">
        <v>96</v>
      </c>
      <c r="AQ34" t="s">
        <v>63</v>
      </c>
      <c r="AR34" t="s">
        <v>64</v>
      </c>
    </row>
    <row r="35" spans="1:44">
      <c r="A35">
        <v>34</v>
      </c>
      <c r="B35" s="37">
        <v>45233</v>
      </c>
      <c r="C35" s="39">
        <v>0.4375</v>
      </c>
      <c r="D35" t="s">
        <v>104</v>
      </c>
      <c r="E35" t="s">
        <v>105</v>
      </c>
      <c r="F35" t="s">
        <v>58</v>
      </c>
      <c r="G35" t="s">
        <v>67</v>
      </c>
      <c r="H35" t="s">
        <v>58</v>
      </c>
      <c r="I35" t="s">
        <v>87</v>
      </c>
      <c r="J35">
        <v>181</v>
      </c>
      <c r="K35">
        <v>3</v>
      </c>
      <c r="L35">
        <v>31.3</v>
      </c>
      <c r="M35">
        <v>0</v>
      </c>
      <c r="N35">
        <v>19</v>
      </c>
      <c r="O35">
        <v>0</v>
      </c>
      <c r="P35">
        <v>19</v>
      </c>
      <c r="Q35">
        <v>5.74</v>
      </c>
      <c r="R35">
        <v>3</v>
      </c>
      <c r="S35">
        <v>0</v>
      </c>
      <c r="T35">
        <v>7</v>
      </c>
      <c r="U35">
        <v>2</v>
      </c>
      <c r="V35">
        <v>0</v>
      </c>
      <c r="W35">
        <v>12</v>
      </c>
      <c r="X35">
        <v>179</v>
      </c>
      <c r="Y35">
        <v>10</v>
      </c>
      <c r="Z35">
        <v>46.3</v>
      </c>
      <c r="AA35">
        <v>1</v>
      </c>
      <c r="AB35">
        <v>21</v>
      </c>
      <c r="AC35">
        <v>0</v>
      </c>
      <c r="AD35">
        <v>21</v>
      </c>
      <c r="AE35">
        <v>3.84</v>
      </c>
      <c r="AF35">
        <v>2</v>
      </c>
      <c r="AG35">
        <v>0</v>
      </c>
      <c r="AH35">
        <v>14</v>
      </c>
      <c r="AI35">
        <v>0</v>
      </c>
      <c r="AJ35">
        <v>0</v>
      </c>
      <c r="AK35">
        <v>16</v>
      </c>
      <c r="AL35" t="s">
        <v>67</v>
      </c>
      <c r="AM35" t="s">
        <v>109</v>
      </c>
      <c r="AN35" t="s">
        <v>151</v>
      </c>
      <c r="AO35" t="s">
        <v>52</v>
      </c>
      <c r="AP35" t="s">
        <v>81</v>
      </c>
      <c r="AQ35" t="s">
        <v>82</v>
      </c>
      <c r="AR35" t="s">
        <v>54</v>
      </c>
    </row>
    <row r="36" spans="1:44">
      <c r="A36">
        <v>35</v>
      </c>
      <c r="B36" s="37">
        <v>45234</v>
      </c>
      <c r="C36" s="39">
        <v>0.58333333333333304</v>
      </c>
      <c r="D36" t="s">
        <v>122</v>
      </c>
      <c r="E36" t="s">
        <v>123</v>
      </c>
      <c r="F36" t="s">
        <v>47</v>
      </c>
      <c r="G36" t="s">
        <v>57</v>
      </c>
      <c r="H36" t="s">
        <v>57</v>
      </c>
      <c r="I36" t="s">
        <v>48</v>
      </c>
      <c r="J36">
        <v>401</v>
      </c>
      <c r="K36">
        <v>6</v>
      </c>
      <c r="L36">
        <v>50</v>
      </c>
      <c r="M36">
        <v>1</v>
      </c>
      <c r="N36">
        <v>46</v>
      </c>
      <c r="O36">
        <v>8</v>
      </c>
      <c r="P36">
        <v>54</v>
      </c>
      <c r="Q36">
        <v>8.02</v>
      </c>
      <c r="R36">
        <v>1</v>
      </c>
      <c r="S36">
        <v>0</v>
      </c>
      <c r="T36">
        <v>3</v>
      </c>
      <c r="U36">
        <v>0</v>
      </c>
      <c r="V36">
        <v>0</v>
      </c>
      <c r="W36">
        <v>4</v>
      </c>
      <c r="X36">
        <v>200</v>
      </c>
      <c r="Y36">
        <v>1</v>
      </c>
      <c r="Z36">
        <v>25.3</v>
      </c>
      <c r="AA36">
        <v>0</v>
      </c>
      <c r="AB36">
        <v>15</v>
      </c>
      <c r="AC36">
        <v>13</v>
      </c>
      <c r="AD36">
        <v>28</v>
      </c>
      <c r="AE36">
        <v>7.84</v>
      </c>
      <c r="AF36">
        <v>8</v>
      </c>
      <c r="AG36">
        <v>0</v>
      </c>
      <c r="AH36">
        <v>17</v>
      </c>
      <c r="AI36">
        <v>1</v>
      </c>
      <c r="AJ36">
        <v>0</v>
      </c>
      <c r="AK36">
        <v>26</v>
      </c>
      <c r="AL36" t="s">
        <v>57</v>
      </c>
      <c r="AM36" t="s">
        <v>152</v>
      </c>
      <c r="AN36" t="s">
        <v>147</v>
      </c>
      <c r="AO36" t="s">
        <v>53</v>
      </c>
      <c r="AP36" t="s">
        <v>91</v>
      </c>
      <c r="AQ36" t="s">
        <v>80</v>
      </c>
      <c r="AR36" t="s">
        <v>92</v>
      </c>
    </row>
    <row r="37" spans="1:44">
      <c r="A37">
        <v>36</v>
      </c>
      <c r="B37" s="37">
        <v>45234</v>
      </c>
      <c r="C37" s="39">
        <v>0.58333333333333304</v>
      </c>
      <c r="D37" t="s">
        <v>44</v>
      </c>
      <c r="E37" t="s">
        <v>45</v>
      </c>
      <c r="F37" t="s">
        <v>85</v>
      </c>
      <c r="G37" t="s">
        <v>46</v>
      </c>
      <c r="H37" t="s">
        <v>46</v>
      </c>
      <c r="I37" t="s">
        <v>48</v>
      </c>
      <c r="J37">
        <v>286</v>
      </c>
      <c r="K37">
        <v>10</v>
      </c>
      <c r="L37">
        <v>49.3</v>
      </c>
      <c r="M37">
        <v>2</v>
      </c>
      <c r="N37">
        <v>25</v>
      </c>
      <c r="O37">
        <v>3</v>
      </c>
      <c r="P37">
        <v>28</v>
      </c>
      <c r="Q37">
        <v>5.77</v>
      </c>
      <c r="R37">
        <v>6</v>
      </c>
      <c r="S37">
        <v>0</v>
      </c>
      <c r="T37">
        <v>8</v>
      </c>
      <c r="U37">
        <v>0</v>
      </c>
      <c r="V37">
        <v>0</v>
      </c>
      <c r="W37">
        <v>14</v>
      </c>
      <c r="X37">
        <v>253</v>
      </c>
      <c r="Y37">
        <v>10</v>
      </c>
      <c r="Z37">
        <v>48.1</v>
      </c>
      <c r="AA37">
        <v>1</v>
      </c>
      <c r="AB37">
        <v>22</v>
      </c>
      <c r="AC37">
        <v>6</v>
      </c>
      <c r="AD37">
        <v>28</v>
      </c>
      <c r="AE37">
        <v>5.25</v>
      </c>
      <c r="AF37">
        <v>6</v>
      </c>
      <c r="AG37">
        <v>0</v>
      </c>
      <c r="AH37">
        <v>4</v>
      </c>
      <c r="AI37">
        <v>0</v>
      </c>
      <c r="AJ37">
        <v>0</v>
      </c>
      <c r="AK37">
        <v>10</v>
      </c>
      <c r="AL37" t="s">
        <v>85</v>
      </c>
      <c r="AM37" t="s">
        <v>153</v>
      </c>
      <c r="AN37" t="s">
        <v>114</v>
      </c>
      <c r="AO37" t="s">
        <v>90</v>
      </c>
      <c r="AP37" t="s">
        <v>103</v>
      </c>
      <c r="AQ37" t="s">
        <v>61</v>
      </c>
      <c r="AR37" t="s">
        <v>64</v>
      </c>
    </row>
    <row r="38" spans="1:44">
      <c r="A38">
        <v>37</v>
      </c>
      <c r="B38" s="37">
        <v>45235</v>
      </c>
      <c r="C38" s="39">
        <v>0.58333333333333304</v>
      </c>
      <c r="D38" t="s">
        <v>141</v>
      </c>
      <c r="E38" t="s">
        <v>56</v>
      </c>
      <c r="F38" t="s">
        <v>86</v>
      </c>
      <c r="G38" t="s">
        <v>76</v>
      </c>
      <c r="H38" t="s">
        <v>86</v>
      </c>
      <c r="I38" t="s">
        <v>87</v>
      </c>
      <c r="J38">
        <v>326</v>
      </c>
      <c r="K38">
        <v>5</v>
      </c>
      <c r="L38">
        <v>50</v>
      </c>
      <c r="M38">
        <v>3</v>
      </c>
      <c r="N38">
        <v>35</v>
      </c>
      <c r="O38">
        <v>6</v>
      </c>
      <c r="P38">
        <v>41</v>
      </c>
      <c r="Q38">
        <v>6.52</v>
      </c>
      <c r="R38">
        <v>0</v>
      </c>
      <c r="S38">
        <v>0</v>
      </c>
      <c r="T38">
        <v>2</v>
      </c>
      <c r="U38">
        <v>0</v>
      </c>
      <c r="V38">
        <v>0</v>
      </c>
      <c r="W38">
        <v>2</v>
      </c>
      <c r="X38">
        <v>83</v>
      </c>
      <c r="Y38">
        <v>10</v>
      </c>
      <c r="Z38">
        <v>27.1</v>
      </c>
      <c r="AA38">
        <v>1</v>
      </c>
      <c r="AB38">
        <v>10</v>
      </c>
      <c r="AC38">
        <v>0</v>
      </c>
      <c r="AD38">
        <v>10</v>
      </c>
      <c r="AE38">
        <v>3.05</v>
      </c>
      <c r="AF38">
        <v>2</v>
      </c>
      <c r="AG38">
        <v>0</v>
      </c>
      <c r="AH38">
        <v>22</v>
      </c>
      <c r="AI38">
        <v>2</v>
      </c>
      <c r="AJ38">
        <v>0</v>
      </c>
      <c r="AK38">
        <v>26</v>
      </c>
      <c r="AL38" t="s">
        <v>86</v>
      </c>
      <c r="AM38" t="s">
        <v>154</v>
      </c>
      <c r="AN38" t="s">
        <v>121</v>
      </c>
      <c r="AO38" t="s">
        <v>96</v>
      </c>
      <c r="AP38" t="s">
        <v>51</v>
      </c>
      <c r="AQ38" t="s">
        <v>62</v>
      </c>
      <c r="AR38" t="s">
        <v>73</v>
      </c>
    </row>
    <row r="39" spans="1:44">
      <c r="A39">
        <v>38</v>
      </c>
      <c r="B39" s="37">
        <v>45236</v>
      </c>
      <c r="C39" s="39">
        <v>0.58333333333333304</v>
      </c>
      <c r="D39" t="s">
        <v>74</v>
      </c>
      <c r="E39" t="s">
        <v>75</v>
      </c>
      <c r="F39" t="s">
        <v>77</v>
      </c>
      <c r="G39" t="s">
        <v>68</v>
      </c>
      <c r="H39" t="s">
        <v>68</v>
      </c>
      <c r="I39" t="s">
        <v>48</v>
      </c>
      <c r="J39">
        <v>279</v>
      </c>
      <c r="K39">
        <v>10</v>
      </c>
      <c r="L39">
        <v>49.3</v>
      </c>
      <c r="M39">
        <v>2</v>
      </c>
      <c r="N39">
        <v>27</v>
      </c>
      <c r="O39">
        <v>7</v>
      </c>
      <c r="P39">
        <v>34</v>
      </c>
      <c r="Q39">
        <v>5.63</v>
      </c>
      <c r="R39">
        <v>13</v>
      </c>
      <c r="S39">
        <v>0</v>
      </c>
      <c r="T39">
        <v>10</v>
      </c>
      <c r="U39">
        <v>0</v>
      </c>
      <c r="V39">
        <v>0</v>
      </c>
      <c r="W39">
        <v>23</v>
      </c>
      <c r="X39">
        <v>282</v>
      </c>
      <c r="Y39">
        <v>7</v>
      </c>
      <c r="Z39">
        <v>41.1</v>
      </c>
      <c r="AA39">
        <v>1</v>
      </c>
      <c r="AB39">
        <v>33</v>
      </c>
      <c r="AC39">
        <v>7</v>
      </c>
      <c r="AD39">
        <v>40</v>
      </c>
      <c r="AE39">
        <v>6.85</v>
      </c>
      <c r="AF39">
        <v>2</v>
      </c>
      <c r="AG39">
        <v>0</v>
      </c>
      <c r="AH39">
        <v>4</v>
      </c>
      <c r="AI39">
        <v>0</v>
      </c>
      <c r="AJ39">
        <v>0</v>
      </c>
      <c r="AK39">
        <v>6</v>
      </c>
      <c r="AL39" t="s">
        <v>68</v>
      </c>
      <c r="AM39" t="s">
        <v>155</v>
      </c>
      <c r="AN39" t="s">
        <v>156</v>
      </c>
      <c r="AO39" t="s">
        <v>80</v>
      </c>
      <c r="AP39" t="s">
        <v>103</v>
      </c>
      <c r="AQ39" t="s">
        <v>52</v>
      </c>
      <c r="AR39" t="s">
        <v>92</v>
      </c>
    </row>
    <row r="40" spans="1:44">
      <c r="A40">
        <v>39</v>
      </c>
      <c r="B40" s="37">
        <v>45237</v>
      </c>
      <c r="C40" s="39">
        <v>0.58333333333333304</v>
      </c>
      <c r="D40" t="s">
        <v>127</v>
      </c>
      <c r="E40" t="s">
        <v>128</v>
      </c>
      <c r="F40" t="s">
        <v>85</v>
      </c>
      <c r="G40" t="s">
        <v>67</v>
      </c>
      <c r="H40" t="s">
        <v>67</v>
      </c>
      <c r="I40" t="s">
        <v>87</v>
      </c>
      <c r="J40">
        <v>293</v>
      </c>
      <c r="K40">
        <v>7</v>
      </c>
      <c r="L40">
        <v>46.5</v>
      </c>
      <c r="M40">
        <v>0</v>
      </c>
      <c r="N40">
        <v>30</v>
      </c>
      <c r="O40">
        <v>12</v>
      </c>
      <c r="P40">
        <v>42</v>
      </c>
      <c r="Q40">
        <v>6.25</v>
      </c>
      <c r="R40">
        <v>5</v>
      </c>
      <c r="S40">
        <v>0</v>
      </c>
      <c r="T40">
        <v>10</v>
      </c>
      <c r="U40">
        <v>1</v>
      </c>
      <c r="V40">
        <v>0</v>
      </c>
      <c r="W40">
        <v>16</v>
      </c>
      <c r="X40">
        <v>291</v>
      </c>
      <c r="Y40">
        <v>5</v>
      </c>
      <c r="Z40">
        <v>50</v>
      </c>
      <c r="AA40">
        <v>3</v>
      </c>
      <c r="AB40">
        <v>16</v>
      </c>
      <c r="AC40">
        <v>9</v>
      </c>
      <c r="AD40">
        <v>25</v>
      </c>
      <c r="AE40">
        <v>5.82</v>
      </c>
      <c r="AF40">
        <v>1</v>
      </c>
      <c r="AG40">
        <v>4</v>
      </c>
      <c r="AH40">
        <v>10</v>
      </c>
      <c r="AI40">
        <v>0</v>
      </c>
      <c r="AJ40">
        <v>0</v>
      </c>
      <c r="AK40">
        <v>15</v>
      </c>
      <c r="AL40" t="s">
        <v>85</v>
      </c>
      <c r="AM40" t="s">
        <v>155</v>
      </c>
      <c r="AN40" t="s">
        <v>135</v>
      </c>
      <c r="AO40" t="s">
        <v>82</v>
      </c>
      <c r="AP40" t="s">
        <v>100</v>
      </c>
      <c r="AQ40" t="s">
        <v>90</v>
      </c>
      <c r="AR40" t="s">
        <v>64</v>
      </c>
    </row>
    <row r="41" spans="1:44">
      <c r="A41">
        <v>40</v>
      </c>
      <c r="B41" s="37">
        <v>45238</v>
      </c>
      <c r="C41" s="39">
        <v>0.58333333333333304</v>
      </c>
      <c r="D41" t="s">
        <v>119</v>
      </c>
      <c r="E41" t="s">
        <v>120</v>
      </c>
      <c r="F41" t="s">
        <v>46</v>
      </c>
      <c r="G41" t="s">
        <v>58</v>
      </c>
      <c r="H41" t="s">
        <v>46</v>
      </c>
      <c r="I41" t="s">
        <v>87</v>
      </c>
      <c r="J41">
        <v>179</v>
      </c>
      <c r="K41">
        <v>10</v>
      </c>
      <c r="L41">
        <v>37.200000000000003</v>
      </c>
      <c r="M41">
        <v>2</v>
      </c>
      <c r="N41">
        <v>26</v>
      </c>
      <c r="O41">
        <v>10</v>
      </c>
      <c r="P41">
        <v>36</v>
      </c>
      <c r="Q41">
        <v>4.79</v>
      </c>
      <c r="R41">
        <v>4</v>
      </c>
      <c r="S41">
        <v>0</v>
      </c>
      <c r="T41">
        <v>4</v>
      </c>
      <c r="U41">
        <v>0</v>
      </c>
      <c r="V41">
        <v>0</v>
      </c>
      <c r="W41">
        <v>8</v>
      </c>
      <c r="X41">
        <v>339</v>
      </c>
      <c r="Y41">
        <v>9</v>
      </c>
      <c r="Z41">
        <v>50</v>
      </c>
      <c r="AA41">
        <v>0</v>
      </c>
      <c r="AB41">
        <v>15</v>
      </c>
      <c r="AC41">
        <v>6</v>
      </c>
      <c r="AD41">
        <v>21</v>
      </c>
      <c r="AE41">
        <v>6.78</v>
      </c>
      <c r="AF41">
        <v>0</v>
      </c>
      <c r="AG41">
        <v>0</v>
      </c>
      <c r="AH41">
        <v>20</v>
      </c>
      <c r="AI41">
        <v>1</v>
      </c>
      <c r="AJ41">
        <v>0</v>
      </c>
      <c r="AK41">
        <v>21</v>
      </c>
      <c r="AL41" t="s">
        <v>46</v>
      </c>
      <c r="AM41" t="s">
        <v>157</v>
      </c>
      <c r="AN41" t="s">
        <v>158</v>
      </c>
      <c r="AO41" t="s">
        <v>72</v>
      </c>
      <c r="AP41" t="s">
        <v>63</v>
      </c>
      <c r="AQ41" t="s">
        <v>103</v>
      </c>
      <c r="AR41" t="s">
        <v>73</v>
      </c>
    </row>
    <row r="42" spans="1:44">
      <c r="A42">
        <v>41</v>
      </c>
      <c r="B42" s="37">
        <v>45239</v>
      </c>
      <c r="C42" s="39">
        <v>0.58333333333333304</v>
      </c>
      <c r="D42" t="s">
        <v>122</v>
      </c>
      <c r="E42" t="s">
        <v>123</v>
      </c>
      <c r="F42" t="s">
        <v>47</v>
      </c>
      <c r="G42" t="s">
        <v>77</v>
      </c>
      <c r="H42" t="s">
        <v>47</v>
      </c>
      <c r="I42" t="s">
        <v>48</v>
      </c>
      <c r="J42">
        <v>171</v>
      </c>
      <c r="K42">
        <v>10</v>
      </c>
      <c r="L42">
        <v>46.4</v>
      </c>
      <c r="M42">
        <v>7</v>
      </c>
      <c r="N42">
        <v>23</v>
      </c>
      <c r="O42">
        <v>5</v>
      </c>
      <c r="P42">
        <v>28</v>
      </c>
      <c r="Q42">
        <v>3.66</v>
      </c>
      <c r="R42">
        <v>1</v>
      </c>
      <c r="S42">
        <v>0</v>
      </c>
      <c r="T42">
        <v>3</v>
      </c>
      <c r="U42">
        <v>0</v>
      </c>
      <c r="V42">
        <v>0</v>
      </c>
      <c r="W42">
        <v>4</v>
      </c>
      <c r="X42">
        <v>172</v>
      </c>
      <c r="Y42">
        <v>5</v>
      </c>
      <c r="Z42">
        <v>23.2</v>
      </c>
      <c r="AA42">
        <v>1</v>
      </c>
      <c r="AB42">
        <v>21</v>
      </c>
      <c r="AC42">
        <v>3</v>
      </c>
      <c r="AD42">
        <v>24</v>
      </c>
      <c r="AE42">
        <v>7.37</v>
      </c>
      <c r="AF42">
        <v>0</v>
      </c>
      <c r="AG42">
        <v>0</v>
      </c>
      <c r="AH42">
        <v>2</v>
      </c>
      <c r="AI42">
        <v>0</v>
      </c>
      <c r="AJ42">
        <v>0</v>
      </c>
      <c r="AK42">
        <v>2</v>
      </c>
      <c r="AL42" t="s">
        <v>47</v>
      </c>
      <c r="AM42" t="s">
        <v>113</v>
      </c>
      <c r="AN42" t="s">
        <v>159</v>
      </c>
      <c r="AO42" t="s">
        <v>61</v>
      </c>
      <c r="AP42" t="s">
        <v>71</v>
      </c>
      <c r="AQ42" t="s">
        <v>91</v>
      </c>
      <c r="AR42" t="s">
        <v>54</v>
      </c>
    </row>
    <row r="43" spans="1:44">
      <c r="A43">
        <v>42</v>
      </c>
      <c r="B43" s="37">
        <v>45240</v>
      </c>
      <c r="C43" s="39">
        <v>0.4375</v>
      </c>
      <c r="D43" t="s">
        <v>44</v>
      </c>
      <c r="E43" t="s">
        <v>45</v>
      </c>
      <c r="F43" t="s">
        <v>67</v>
      </c>
      <c r="G43" t="s">
        <v>76</v>
      </c>
      <c r="H43" t="s">
        <v>67</v>
      </c>
      <c r="I43" t="s">
        <v>87</v>
      </c>
      <c r="J43">
        <v>244</v>
      </c>
      <c r="K43">
        <v>10</v>
      </c>
      <c r="L43">
        <v>50</v>
      </c>
      <c r="M43">
        <v>2</v>
      </c>
      <c r="N43">
        <v>20</v>
      </c>
      <c r="O43">
        <v>6</v>
      </c>
      <c r="P43">
        <v>26</v>
      </c>
      <c r="Q43">
        <v>4.88</v>
      </c>
      <c r="R43">
        <v>3</v>
      </c>
      <c r="S43">
        <v>0</v>
      </c>
      <c r="T43">
        <v>6</v>
      </c>
      <c r="U43">
        <v>0</v>
      </c>
      <c r="V43">
        <v>0</v>
      </c>
      <c r="W43">
        <v>9</v>
      </c>
      <c r="X43">
        <v>247</v>
      </c>
      <c r="Y43">
        <v>5</v>
      </c>
      <c r="Z43">
        <v>47.3</v>
      </c>
      <c r="AA43">
        <v>2</v>
      </c>
      <c r="AB43">
        <v>15</v>
      </c>
      <c r="AC43">
        <v>9</v>
      </c>
      <c r="AD43">
        <v>24</v>
      </c>
      <c r="AE43" t="s">
        <v>160</v>
      </c>
      <c r="AF43">
        <v>1</v>
      </c>
      <c r="AG43">
        <v>4</v>
      </c>
      <c r="AH43">
        <v>10</v>
      </c>
      <c r="AI43">
        <v>0</v>
      </c>
      <c r="AJ43">
        <v>0</v>
      </c>
      <c r="AK43">
        <v>15</v>
      </c>
      <c r="AL43" t="s">
        <v>76</v>
      </c>
      <c r="AM43" t="s">
        <v>113</v>
      </c>
      <c r="AN43" t="s">
        <v>149</v>
      </c>
      <c r="AO43" t="s">
        <v>52</v>
      </c>
      <c r="AP43" t="s">
        <v>62</v>
      </c>
      <c r="AQ43" t="s">
        <v>51</v>
      </c>
      <c r="AR43" t="s">
        <v>64</v>
      </c>
    </row>
    <row r="44" spans="1:44">
      <c r="A44">
        <v>43</v>
      </c>
      <c r="B44" s="37">
        <v>45241</v>
      </c>
      <c r="C44" s="39">
        <v>0.58333333333333304</v>
      </c>
      <c r="D44" t="s">
        <v>119</v>
      </c>
      <c r="E44" t="s">
        <v>120</v>
      </c>
      <c r="F44" t="s">
        <v>85</v>
      </c>
      <c r="G44" t="s">
        <v>68</v>
      </c>
      <c r="H44" t="s">
        <v>85</v>
      </c>
      <c r="I44" t="s">
        <v>48</v>
      </c>
      <c r="J44">
        <v>306</v>
      </c>
      <c r="K44">
        <v>8</v>
      </c>
      <c r="L44">
        <v>50</v>
      </c>
      <c r="M44">
        <v>1</v>
      </c>
      <c r="N44">
        <v>29</v>
      </c>
      <c r="O44">
        <v>10</v>
      </c>
      <c r="P44">
        <v>39</v>
      </c>
      <c r="Q44">
        <v>6.12</v>
      </c>
      <c r="R44">
        <v>10</v>
      </c>
      <c r="S44">
        <v>0</v>
      </c>
      <c r="T44">
        <v>12</v>
      </c>
      <c r="U44">
        <v>2</v>
      </c>
      <c r="V44">
        <v>0</v>
      </c>
      <c r="W44">
        <v>24</v>
      </c>
      <c r="X44">
        <v>307</v>
      </c>
      <c r="Y44">
        <v>2</v>
      </c>
      <c r="Z44">
        <v>44.4</v>
      </c>
      <c r="AA44">
        <v>1</v>
      </c>
      <c r="AB44">
        <v>27</v>
      </c>
      <c r="AC44">
        <v>6</v>
      </c>
      <c r="AD44">
        <v>33</v>
      </c>
      <c r="AE44">
        <v>6.87</v>
      </c>
      <c r="AF44">
        <v>0</v>
      </c>
      <c r="AG44">
        <v>0</v>
      </c>
      <c r="AH44">
        <v>4</v>
      </c>
      <c r="AI44">
        <v>0</v>
      </c>
      <c r="AJ44">
        <v>0</v>
      </c>
      <c r="AK44">
        <v>4</v>
      </c>
      <c r="AL44" t="s">
        <v>85</v>
      </c>
      <c r="AM44" t="s">
        <v>101</v>
      </c>
      <c r="AN44" t="s">
        <v>161</v>
      </c>
      <c r="AO44" t="s">
        <v>72</v>
      </c>
      <c r="AP44" t="s">
        <v>103</v>
      </c>
      <c r="AQ44" t="s">
        <v>80</v>
      </c>
      <c r="AR44" t="s">
        <v>73</v>
      </c>
    </row>
    <row r="45" spans="1:44">
      <c r="A45">
        <v>44</v>
      </c>
      <c r="B45" s="37">
        <v>45241</v>
      </c>
      <c r="C45" s="39">
        <v>0.58333333333333304</v>
      </c>
      <c r="D45" t="s">
        <v>141</v>
      </c>
      <c r="E45" t="s">
        <v>56</v>
      </c>
      <c r="F45" t="s">
        <v>46</v>
      </c>
      <c r="G45" t="s">
        <v>57</v>
      </c>
      <c r="H45" t="s">
        <v>46</v>
      </c>
      <c r="I45" t="s">
        <v>87</v>
      </c>
      <c r="J45">
        <v>244</v>
      </c>
      <c r="K45">
        <v>10</v>
      </c>
      <c r="L45">
        <v>50</v>
      </c>
      <c r="M45">
        <v>1</v>
      </c>
      <c r="N45">
        <v>27</v>
      </c>
      <c r="O45">
        <v>6</v>
      </c>
      <c r="P45">
        <v>33</v>
      </c>
      <c r="Q45">
        <v>6.74</v>
      </c>
      <c r="R45">
        <v>2</v>
      </c>
      <c r="S45">
        <v>5</v>
      </c>
      <c r="T45">
        <v>12</v>
      </c>
      <c r="U45">
        <v>0</v>
      </c>
      <c r="V45">
        <v>0</v>
      </c>
      <c r="W45">
        <v>19</v>
      </c>
      <c r="X45">
        <v>337</v>
      </c>
      <c r="Y45">
        <v>9</v>
      </c>
      <c r="Z45">
        <v>43.3</v>
      </c>
      <c r="AA45">
        <v>0</v>
      </c>
      <c r="AB45">
        <v>35</v>
      </c>
      <c r="AC45">
        <v>8</v>
      </c>
      <c r="AD45">
        <v>43</v>
      </c>
      <c r="AE45">
        <v>5.6</v>
      </c>
      <c r="AF45">
        <v>1</v>
      </c>
      <c r="AG45">
        <v>0</v>
      </c>
      <c r="AH45">
        <v>5</v>
      </c>
      <c r="AI45">
        <v>0</v>
      </c>
      <c r="AJ45">
        <v>0</v>
      </c>
      <c r="AK45">
        <v>6</v>
      </c>
      <c r="AL45" t="s">
        <v>46</v>
      </c>
      <c r="AM45" t="s">
        <v>162</v>
      </c>
      <c r="AN45" t="s">
        <v>163</v>
      </c>
      <c r="AO45" t="s">
        <v>53</v>
      </c>
      <c r="AP45" t="s">
        <v>63</v>
      </c>
      <c r="AQ45" t="s">
        <v>81</v>
      </c>
      <c r="AR45" t="s">
        <v>54</v>
      </c>
    </row>
    <row r="46" spans="1:44">
      <c r="A46">
        <v>45</v>
      </c>
      <c r="B46" s="37">
        <v>45242</v>
      </c>
      <c r="C46" s="39">
        <v>0.58333333333333304</v>
      </c>
      <c r="D46" t="s">
        <v>122</v>
      </c>
      <c r="E46" t="s">
        <v>123</v>
      </c>
      <c r="F46" t="s">
        <v>86</v>
      </c>
      <c r="G46" t="s">
        <v>58</v>
      </c>
      <c r="H46" t="s">
        <v>86</v>
      </c>
      <c r="I46" t="s">
        <v>87</v>
      </c>
      <c r="J46">
        <v>410</v>
      </c>
      <c r="K46">
        <v>4</v>
      </c>
      <c r="L46">
        <v>50</v>
      </c>
      <c r="M46">
        <v>3</v>
      </c>
      <c r="N46">
        <v>37</v>
      </c>
      <c r="O46">
        <v>16</v>
      </c>
      <c r="P46">
        <v>53</v>
      </c>
      <c r="Q46">
        <v>8.1999999999999993</v>
      </c>
      <c r="R46">
        <v>9</v>
      </c>
      <c r="S46">
        <v>0</v>
      </c>
      <c r="T46">
        <v>4</v>
      </c>
      <c r="U46">
        <v>0</v>
      </c>
      <c r="V46">
        <v>0</v>
      </c>
      <c r="W46">
        <v>13</v>
      </c>
      <c r="X46">
        <v>250</v>
      </c>
      <c r="Y46">
        <v>10</v>
      </c>
      <c r="Z46">
        <v>47.5</v>
      </c>
      <c r="AA46">
        <v>0</v>
      </c>
      <c r="AB46">
        <v>19</v>
      </c>
      <c r="AC46">
        <v>9</v>
      </c>
      <c r="AD46">
        <v>28</v>
      </c>
      <c r="AE46">
        <v>5.22</v>
      </c>
      <c r="AF46">
        <v>1</v>
      </c>
      <c r="AG46">
        <v>0</v>
      </c>
      <c r="AH46">
        <v>13</v>
      </c>
      <c r="AI46">
        <v>1</v>
      </c>
      <c r="AJ46">
        <v>0</v>
      </c>
      <c r="AK46">
        <v>15</v>
      </c>
      <c r="AL46" t="s">
        <v>86</v>
      </c>
      <c r="AM46" t="s">
        <v>157</v>
      </c>
      <c r="AN46" t="s">
        <v>164</v>
      </c>
      <c r="AO46" t="s">
        <v>82</v>
      </c>
      <c r="AP46" t="s">
        <v>90</v>
      </c>
      <c r="AQ46" t="s">
        <v>71</v>
      </c>
      <c r="AR46" t="s">
        <v>92</v>
      </c>
    </row>
    <row r="47" spans="1:44">
      <c r="A47">
        <v>46</v>
      </c>
      <c r="B47" s="37">
        <v>45245</v>
      </c>
      <c r="C47" s="39">
        <v>0.58333333333333304</v>
      </c>
      <c r="D47" t="s">
        <v>127</v>
      </c>
      <c r="E47" t="s">
        <v>128</v>
      </c>
      <c r="F47" t="s">
        <v>86</v>
      </c>
      <c r="G47" t="s">
        <v>47</v>
      </c>
      <c r="H47" t="s">
        <v>86</v>
      </c>
      <c r="I47" t="s">
        <v>87</v>
      </c>
      <c r="J47">
        <v>397</v>
      </c>
      <c r="K47">
        <v>4</v>
      </c>
      <c r="L47">
        <v>50</v>
      </c>
      <c r="M47">
        <v>1</v>
      </c>
      <c r="N47">
        <v>30</v>
      </c>
      <c r="O47">
        <v>19</v>
      </c>
      <c r="P47">
        <v>49</v>
      </c>
      <c r="Q47">
        <v>7.94</v>
      </c>
      <c r="R47">
        <v>5</v>
      </c>
      <c r="S47">
        <v>4</v>
      </c>
      <c r="T47">
        <v>19</v>
      </c>
      <c r="U47">
        <v>1</v>
      </c>
      <c r="V47">
        <v>0</v>
      </c>
      <c r="W47">
        <v>29</v>
      </c>
      <c r="X47">
        <v>327</v>
      </c>
      <c r="Y47">
        <v>10</v>
      </c>
      <c r="Z47">
        <v>48.5</v>
      </c>
      <c r="AA47">
        <v>1</v>
      </c>
      <c r="AB47">
        <v>29</v>
      </c>
      <c r="AC47">
        <v>11</v>
      </c>
      <c r="AD47">
        <v>40</v>
      </c>
      <c r="AE47">
        <v>6.69</v>
      </c>
      <c r="AF47">
        <v>1</v>
      </c>
      <c r="AG47">
        <v>1</v>
      </c>
      <c r="AH47">
        <v>6</v>
      </c>
      <c r="AI47">
        <v>0</v>
      </c>
      <c r="AJ47">
        <v>0</v>
      </c>
      <c r="AK47">
        <v>8</v>
      </c>
      <c r="AL47" t="s">
        <v>86</v>
      </c>
      <c r="AM47" t="s">
        <v>165</v>
      </c>
      <c r="AN47" t="s">
        <v>132</v>
      </c>
      <c r="AO47" t="s">
        <v>80</v>
      </c>
      <c r="AP47" t="s">
        <v>63</v>
      </c>
      <c r="AQ47" t="s">
        <v>71</v>
      </c>
      <c r="AR47" t="s">
        <v>73</v>
      </c>
    </row>
    <row r="48" spans="1:44">
      <c r="A48">
        <v>47</v>
      </c>
      <c r="B48" s="37">
        <v>45246</v>
      </c>
      <c r="C48" s="39">
        <v>0.58333333333333304</v>
      </c>
      <c r="D48" t="s">
        <v>141</v>
      </c>
      <c r="E48" t="s">
        <v>56</v>
      </c>
      <c r="F48" t="s">
        <v>85</v>
      </c>
      <c r="G48" t="s">
        <v>76</v>
      </c>
      <c r="H48" t="s">
        <v>76</v>
      </c>
      <c r="I48" t="s">
        <v>87</v>
      </c>
      <c r="J48">
        <v>215</v>
      </c>
      <c r="K48">
        <v>7</v>
      </c>
      <c r="L48">
        <v>47.2</v>
      </c>
      <c r="M48">
        <v>4</v>
      </c>
      <c r="N48">
        <v>21</v>
      </c>
      <c r="O48">
        <v>6</v>
      </c>
      <c r="P48">
        <v>27</v>
      </c>
      <c r="Q48">
        <v>4.54</v>
      </c>
      <c r="R48">
        <v>4</v>
      </c>
      <c r="S48">
        <v>0</v>
      </c>
      <c r="T48">
        <v>7</v>
      </c>
      <c r="U48">
        <v>0</v>
      </c>
      <c r="V48">
        <v>0</v>
      </c>
      <c r="W48">
        <v>11</v>
      </c>
      <c r="X48">
        <v>212</v>
      </c>
      <c r="Y48">
        <v>10</v>
      </c>
      <c r="Z48">
        <v>49.4</v>
      </c>
      <c r="AA48">
        <v>1</v>
      </c>
      <c r="AB48">
        <v>16</v>
      </c>
      <c r="AC48">
        <v>8</v>
      </c>
      <c r="AD48">
        <v>24</v>
      </c>
      <c r="AE48">
        <v>4.26</v>
      </c>
      <c r="AF48">
        <v>3</v>
      </c>
      <c r="AG48">
        <v>0</v>
      </c>
      <c r="AH48">
        <v>12</v>
      </c>
      <c r="AI48">
        <v>2</v>
      </c>
      <c r="AJ48">
        <v>0</v>
      </c>
      <c r="AK48">
        <v>17</v>
      </c>
      <c r="AL48" t="s">
        <v>85</v>
      </c>
      <c r="AM48" t="s">
        <v>155</v>
      </c>
      <c r="AN48" t="s">
        <v>140</v>
      </c>
      <c r="AO48" t="s">
        <v>52</v>
      </c>
      <c r="AP48" t="s">
        <v>91</v>
      </c>
      <c r="AQ48" t="s">
        <v>90</v>
      </c>
      <c r="AR48" t="s">
        <v>54</v>
      </c>
    </row>
    <row r="49" spans="1:44">
      <c r="A49">
        <v>48</v>
      </c>
      <c r="B49" s="37">
        <v>45249</v>
      </c>
      <c r="C49" s="39">
        <v>0.58333333333333304</v>
      </c>
      <c r="D49" t="s">
        <v>44</v>
      </c>
      <c r="E49" t="s">
        <v>45</v>
      </c>
      <c r="F49" t="s">
        <v>86</v>
      </c>
      <c r="G49" t="s">
        <v>85</v>
      </c>
      <c r="H49" t="s">
        <v>85</v>
      </c>
      <c r="I49" t="s">
        <v>48</v>
      </c>
      <c r="J49">
        <v>240</v>
      </c>
      <c r="K49">
        <v>10</v>
      </c>
      <c r="L49">
        <v>50</v>
      </c>
      <c r="M49">
        <v>3</v>
      </c>
      <c r="N49">
        <v>13</v>
      </c>
      <c r="O49">
        <v>3</v>
      </c>
      <c r="P49">
        <v>16</v>
      </c>
      <c r="Q49">
        <v>4.8</v>
      </c>
      <c r="R49">
        <v>2</v>
      </c>
      <c r="S49">
        <v>5</v>
      </c>
      <c r="T49">
        <v>11</v>
      </c>
      <c r="U49">
        <v>0</v>
      </c>
      <c r="V49">
        <v>0</v>
      </c>
      <c r="W49">
        <v>18</v>
      </c>
      <c r="X49">
        <v>241</v>
      </c>
      <c r="Y49">
        <v>4</v>
      </c>
      <c r="Z49">
        <v>43</v>
      </c>
      <c r="AA49">
        <v>0</v>
      </c>
      <c r="AB49">
        <v>22</v>
      </c>
      <c r="AC49">
        <v>5</v>
      </c>
      <c r="AD49">
        <v>27</v>
      </c>
      <c r="AE49">
        <v>5.6</v>
      </c>
      <c r="AF49">
        <v>3</v>
      </c>
      <c r="AG49">
        <v>0</v>
      </c>
      <c r="AH49">
        <v>9</v>
      </c>
      <c r="AI49">
        <v>0</v>
      </c>
      <c r="AJ49">
        <v>0</v>
      </c>
      <c r="AK49">
        <v>12</v>
      </c>
      <c r="AL49" t="s">
        <v>85</v>
      </c>
      <c r="AM49" t="s">
        <v>69</v>
      </c>
      <c r="AN49" t="s">
        <v>140</v>
      </c>
      <c r="AO49" t="s">
        <v>80</v>
      </c>
      <c r="AP49" t="s">
        <v>91</v>
      </c>
      <c r="AQ49" t="s">
        <v>71</v>
      </c>
      <c r="AR49" t="s">
        <v>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49"/>
  <sheetViews>
    <sheetView zoomScale="85" zoomScaleNormal="85" workbookViewId="0">
      <selection activeCell="F13" sqref="F13"/>
    </sheetView>
  </sheetViews>
  <sheetFormatPr defaultColWidth="9.140625" defaultRowHeight="15"/>
  <cols>
    <col min="1" max="1" width="14.140625" bestFit="1" customWidth="1"/>
    <col min="2" max="2" width="11.85546875" customWidth="1"/>
    <col min="3" max="3" width="12.28515625" customWidth="1"/>
    <col min="4" max="4" width="13.42578125" customWidth="1"/>
    <col min="5" max="5" width="40.85546875" customWidth="1"/>
    <col min="6" max="8" width="13" customWidth="1"/>
    <col min="9" max="9" width="13.85546875" customWidth="1"/>
    <col min="10" max="10" width="8.140625" customWidth="1"/>
    <col min="11" max="11" width="10.42578125" customWidth="1"/>
    <col min="12" max="12" width="15.42578125" customWidth="1"/>
    <col min="13" max="13" width="16.42578125" customWidth="1"/>
    <col min="14" max="15" width="5.140625" customWidth="1"/>
    <col min="16" max="16" width="13.7109375" customWidth="1"/>
    <col min="17" max="17" width="10.28515625" customWidth="1"/>
    <col min="18" max="18" width="11" customWidth="1"/>
    <col min="19" max="19" width="7.42578125" customWidth="1"/>
    <col min="20" max="20" width="9" customWidth="1"/>
    <col min="21" max="21" width="10.42578125" customWidth="1"/>
    <col min="22" max="22" width="10" customWidth="1"/>
    <col min="23" max="23" width="8.5703125" customWidth="1"/>
    <col min="24" max="24" width="8" customWidth="1"/>
    <col min="25" max="25" width="10.28515625" customWidth="1"/>
    <col min="26" max="26" width="15.28515625" customWidth="1"/>
    <col min="27" max="27" width="16.28515625" customWidth="1"/>
    <col min="28" max="29" width="5" customWidth="1"/>
    <col min="30" max="30" width="13.5703125" customWidth="1"/>
    <col min="31" max="31" width="10.140625" customWidth="1"/>
    <col min="32" max="32" width="10.85546875" customWidth="1"/>
    <col min="33" max="33" width="7.28515625" customWidth="1"/>
    <col min="34" max="34" width="8.85546875" customWidth="1"/>
    <col min="35" max="35" width="10.28515625" customWidth="1"/>
    <col min="36" max="36" width="9.85546875" customWidth="1"/>
    <col min="37" max="37" width="8.42578125" customWidth="1"/>
    <col min="38" max="38" width="13.7109375" customWidth="1"/>
    <col min="39" max="39" width="20.42578125" style="29" customWidth="1"/>
    <col min="40" max="40" width="20.42578125" customWidth="1"/>
    <col min="41" max="41" width="25.7109375" customWidth="1"/>
    <col min="42" max="44" width="22.85546875" customWidth="1"/>
    <col min="45" max="45" width="18" customWidth="1"/>
    <col min="46" max="46" width="24.28515625" customWidth="1"/>
  </cols>
  <sheetData>
    <row r="1" spans="1:46" s="51" customFormat="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c r="W1" s="50" t="s">
        <v>22</v>
      </c>
      <c r="X1" s="50" t="s">
        <v>23</v>
      </c>
      <c r="Y1" s="50" t="s">
        <v>24</v>
      </c>
      <c r="Z1" s="50" t="s">
        <v>25</v>
      </c>
      <c r="AA1" s="50" t="s">
        <v>26</v>
      </c>
      <c r="AB1" s="50" t="s">
        <v>27</v>
      </c>
      <c r="AC1" s="50" t="s">
        <v>28</v>
      </c>
      <c r="AD1" s="50" t="s">
        <v>29</v>
      </c>
      <c r="AE1" s="50" t="s">
        <v>30</v>
      </c>
      <c r="AF1" s="50" t="s">
        <v>31</v>
      </c>
      <c r="AG1" s="50" t="s">
        <v>32</v>
      </c>
      <c r="AH1" s="50" t="s">
        <v>33</v>
      </c>
      <c r="AI1" s="50" t="s">
        <v>34</v>
      </c>
      <c r="AJ1" s="50" t="s">
        <v>35</v>
      </c>
      <c r="AK1" s="50" t="s">
        <v>36</v>
      </c>
      <c r="AL1" s="50" t="s">
        <v>37</v>
      </c>
      <c r="AM1" s="50" t="s">
        <v>166</v>
      </c>
      <c r="AN1" s="50" t="s">
        <v>38</v>
      </c>
      <c r="AO1" s="50" t="s">
        <v>39</v>
      </c>
      <c r="AP1" s="50" t="s">
        <v>40</v>
      </c>
      <c r="AQ1" s="50" t="s">
        <v>41</v>
      </c>
      <c r="AR1" s="50" t="s">
        <v>42</v>
      </c>
      <c r="AS1" s="50" t="s">
        <v>43</v>
      </c>
      <c r="AT1" s="51" t="s">
        <v>167</v>
      </c>
    </row>
    <row r="2" spans="1:46">
      <c r="A2" s="29">
        <v>1</v>
      </c>
      <c r="B2" s="37">
        <v>45204</v>
      </c>
      <c r="C2" s="38">
        <v>0.58333333333333304</v>
      </c>
      <c r="D2" s="29" t="s">
        <v>44</v>
      </c>
      <c r="E2" s="29" t="s">
        <v>45</v>
      </c>
      <c r="F2" s="29" t="s">
        <v>46</v>
      </c>
      <c r="G2" s="29" t="s">
        <v>47</v>
      </c>
      <c r="H2" s="29" t="s">
        <v>47</v>
      </c>
      <c r="I2" s="29" t="s">
        <v>48</v>
      </c>
      <c r="J2" s="29">
        <v>282</v>
      </c>
      <c r="K2" s="29">
        <v>9</v>
      </c>
      <c r="L2" s="29">
        <v>50</v>
      </c>
      <c r="M2" s="29">
        <v>2</v>
      </c>
      <c r="N2" s="29">
        <v>21</v>
      </c>
      <c r="O2" s="29">
        <v>6</v>
      </c>
      <c r="P2" s="29">
        <v>27</v>
      </c>
      <c r="Q2" s="29">
        <v>5.64</v>
      </c>
      <c r="R2" s="29">
        <v>1</v>
      </c>
      <c r="S2" s="29">
        <v>4</v>
      </c>
      <c r="T2" s="29">
        <v>3</v>
      </c>
      <c r="U2" s="29">
        <v>0</v>
      </c>
      <c r="V2" s="29">
        <v>0</v>
      </c>
      <c r="W2" s="29">
        <v>8</v>
      </c>
      <c r="X2" s="29">
        <v>283</v>
      </c>
      <c r="Y2" s="29">
        <v>1</v>
      </c>
      <c r="Z2" s="29">
        <v>36.200000000000003</v>
      </c>
      <c r="AA2" s="29">
        <v>2</v>
      </c>
      <c r="AB2" s="29">
        <v>30</v>
      </c>
      <c r="AC2" s="29">
        <v>8</v>
      </c>
      <c r="AD2" s="29">
        <v>38</v>
      </c>
      <c r="AE2" s="29">
        <v>7.78</v>
      </c>
      <c r="AF2" s="29">
        <v>0</v>
      </c>
      <c r="AG2" s="29">
        <v>0</v>
      </c>
      <c r="AH2" s="29">
        <v>6</v>
      </c>
      <c r="AI2" s="29">
        <v>0</v>
      </c>
      <c r="AJ2" s="29">
        <v>0</v>
      </c>
      <c r="AK2" s="29">
        <v>6</v>
      </c>
      <c r="AL2" s="29" t="s">
        <v>47</v>
      </c>
      <c r="AM2" s="29" t="str">
        <f t="shared" ref="AM2:AM49" si="0">IF(AL2=F2,G2,F2)</f>
        <v>England</v>
      </c>
      <c r="AN2" s="29" t="s">
        <v>49</v>
      </c>
      <c r="AO2" s="29" t="s">
        <v>50</v>
      </c>
      <c r="AP2" s="29" t="s">
        <v>51</v>
      </c>
      <c r="AQ2" s="29" t="s">
        <v>52</v>
      </c>
      <c r="AR2" s="29" t="s">
        <v>53</v>
      </c>
      <c r="AS2" s="29" t="s">
        <v>54</v>
      </c>
      <c r="AT2" t="str">
        <f t="shared" ref="AT2:AT49" si="1">IF(AL2=H2,"yes","No")</f>
        <v>yes</v>
      </c>
    </row>
    <row r="3" spans="1:46">
      <c r="A3" s="29">
        <v>2</v>
      </c>
      <c r="B3" s="37">
        <v>45205</v>
      </c>
      <c r="C3" s="38">
        <v>0.58333333333333304</v>
      </c>
      <c r="D3" s="29" t="s">
        <v>55</v>
      </c>
      <c r="E3" s="29" t="s">
        <v>56</v>
      </c>
      <c r="F3" s="29" t="s">
        <v>57</v>
      </c>
      <c r="G3" s="29" t="s">
        <v>58</v>
      </c>
      <c r="H3" s="29" t="s">
        <v>58</v>
      </c>
      <c r="I3" s="29" t="s">
        <v>48</v>
      </c>
      <c r="J3" s="29">
        <v>286</v>
      </c>
      <c r="K3" s="29">
        <v>10</v>
      </c>
      <c r="L3" s="29">
        <v>49</v>
      </c>
      <c r="M3" s="29">
        <v>1</v>
      </c>
      <c r="N3" s="29">
        <v>33</v>
      </c>
      <c r="O3" s="29">
        <v>3</v>
      </c>
      <c r="P3" s="29">
        <v>36</v>
      </c>
      <c r="Q3" s="29">
        <v>5.83</v>
      </c>
      <c r="R3" s="29">
        <v>0</v>
      </c>
      <c r="S3" s="29">
        <v>0</v>
      </c>
      <c r="T3" s="29">
        <v>9</v>
      </c>
      <c r="U3" s="29">
        <v>0</v>
      </c>
      <c r="V3" s="29">
        <v>0</v>
      </c>
      <c r="W3" s="29">
        <v>9</v>
      </c>
      <c r="X3" s="29">
        <v>205</v>
      </c>
      <c r="Y3" s="29">
        <v>10</v>
      </c>
      <c r="Z3" s="29">
        <v>41</v>
      </c>
      <c r="AA3" s="29">
        <v>1</v>
      </c>
      <c r="AB3" s="29">
        <v>20</v>
      </c>
      <c r="AC3" s="29">
        <v>4</v>
      </c>
      <c r="AD3" s="29">
        <v>24</v>
      </c>
      <c r="AE3" s="29">
        <v>5</v>
      </c>
      <c r="AF3" s="29">
        <v>0</v>
      </c>
      <c r="AG3" s="29">
        <v>0</v>
      </c>
      <c r="AH3" s="29">
        <v>8</v>
      </c>
      <c r="AI3" s="29">
        <v>1</v>
      </c>
      <c r="AJ3" s="29">
        <v>0</v>
      </c>
      <c r="AK3" s="29">
        <v>9</v>
      </c>
      <c r="AL3" s="29" t="s">
        <v>57</v>
      </c>
      <c r="AM3" s="29" t="str">
        <f t="shared" si="0"/>
        <v>Netherlands</v>
      </c>
      <c r="AN3" s="29" t="s">
        <v>59</v>
      </c>
      <c r="AO3" s="29" t="s">
        <v>60</v>
      </c>
      <c r="AP3" s="29" t="s">
        <v>61</v>
      </c>
      <c r="AQ3" s="29" t="s">
        <v>62</v>
      </c>
      <c r="AR3" s="29" t="s">
        <v>63</v>
      </c>
      <c r="AS3" s="29" t="s">
        <v>64</v>
      </c>
      <c r="AT3" t="str">
        <f t="shared" si="1"/>
        <v>No</v>
      </c>
    </row>
    <row r="4" spans="1:46">
      <c r="A4" s="29">
        <v>3</v>
      </c>
      <c r="B4" s="37">
        <v>45206</v>
      </c>
      <c r="C4" s="38">
        <v>0.58333333333333304</v>
      </c>
      <c r="D4" s="29" t="s">
        <v>65</v>
      </c>
      <c r="E4" s="29" t="s">
        <v>66</v>
      </c>
      <c r="F4" s="29" t="s">
        <v>67</v>
      </c>
      <c r="G4" s="29" t="s">
        <v>68</v>
      </c>
      <c r="H4" s="29" t="s">
        <v>68</v>
      </c>
      <c r="I4" s="29" t="s">
        <v>48</v>
      </c>
      <c r="J4" s="29">
        <v>156</v>
      </c>
      <c r="K4" s="29">
        <v>10</v>
      </c>
      <c r="L4" s="29">
        <v>37.200000000000003</v>
      </c>
      <c r="M4" s="29">
        <v>1</v>
      </c>
      <c r="N4" s="29">
        <v>15</v>
      </c>
      <c r="O4" s="29">
        <v>2</v>
      </c>
      <c r="P4" s="29">
        <v>17</v>
      </c>
      <c r="Q4" s="29">
        <v>4.17</v>
      </c>
      <c r="R4" s="29">
        <v>3</v>
      </c>
      <c r="S4" s="29">
        <v>0</v>
      </c>
      <c r="T4" s="29">
        <v>4</v>
      </c>
      <c r="U4" s="29">
        <v>1</v>
      </c>
      <c r="V4" s="29">
        <v>0</v>
      </c>
      <c r="W4" s="29">
        <v>8</v>
      </c>
      <c r="X4" s="29">
        <v>158</v>
      </c>
      <c r="Y4" s="29">
        <v>4</v>
      </c>
      <c r="Z4" s="29">
        <v>34.4</v>
      </c>
      <c r="AA4" s="29">
        <v>5</v>
      </c>
      <c r="AB4" s="29">
        <v>13</v>
      </c>
      <c r="AC4" s="29">
        <v>1</v>
      </c>
      <c r="AD4" s="29">
        <v>14</v>
      </c>
      <c r="AE4" s="29">
        <v>4.55</v>
      </c>
      <c r="AF4" s="29">
        <v>0</v>
      </c>
      <c r="AG4" s="29">
        <v>0</v>
      </c>
      <c r="AH4" s="29">
        <v>8</v>
      </c>
      <c r="AI4" s="29">
        <v>0</v>
      </c>
      <c r="AJ4" s="29">
        <v>0</v>
      </c>
      <c r="AK4" s="29">
        <v>8</v>
      </c>
      <c r="AL4" s="29" t="s">
        <v>68</v>
      </c>
      <c r="AM4" s="29" t="str">
        <f t="shared" si="0"/>
        <v>Afghanistan</v>
      </c>
      <c r="AN4" s="29" t="s">
        <v>69</v>
      </c>
      <c r="AO4" s="29" t="s">
        <v>70</v>
      </c>
      <c r="AP4" s="29" t="s">
        <v>71</v>
      </c>
      <c r="AQ4" s="29" t="s">
        <v>51</v>
      </c>
      <c r="AR4" s="29" t="s">
        <v>72</v>
      </c>
      <c r="AS4" s="29" t="s">
        <v>73</v>
      </c>
      <c r="AT4" t="str">
        <f t="shared" si="1"/>
        <v>yes</v>
      </c>
    </row>
    <row r="5" spans="1:46">
      <c r="A5" s="29">
        <v>4</v>
      </c>
      <c r="B5" s="37">
        <v>45206</v>
      </c>
      <c r="C5" s="38">
        <v>0.58333333333333304</v>
      </c>
      <c r="D5" s="29" t="s">
        <v>74</v>
      </c>
      <c r="E5" s="29" t="s">
        <v>75</v>
      </c>
      <c r="F5" s="29" t="s">
        <v>76</v>
      </c>
      <c r="G5" s="29" t="s">
        <v>77</v>
      </c>
      <c r="H5" s="29" t="s">
        <v>77</v>
      </c>
      <c r="I5" s="29" t="s">
        <v>48</v>
      </c>
      <c r="J5" s="29">
        <v>428</v>
      </c>
      <c r="K5" s="29">
        <v>5</v>
      </c>
      <c r="L5" s="29">
        <v>50</v>
      </c>
      <c r="M5" s="29">
        <v>1</v>
      </c>
      <c r="N5" s="29">
        <v>45</v>
      </c>
      <c r="O5" s="29">
        <v>14</v>
      </c>
      <c r="P5" s="29">
        <v>59</v>
      </c>
      <c r="Q5" s="29">
        <v>8.56</v>
      </c>
      <c r="R5" s="29">
        <v>5</v>
      </c>
      <c r="S5" s="29">
        <v>0</v>
      </c>
      <c r="T5" s="29">
        <v>14</v>
      </c>
      <c r="U5" s="29">
        <v>1</v>
      </c>
      <c r="V5" s="29">
        <v>0</v>
      </c>
      <c r="W5" s="29">
        <v>20</v>
      </c>
      <c r="X5" s="29">
        <v>326</v>
      </c>
      <c r="Y5" s="29">
        <v>10</v>
      </c>
      <c r="Z5" s="29">
        <v>44.5</v>
      </c>
      <c r="AA5" s="29">
        <v>1</v>
      </c>
      <c r="AB5" s="29">
        <v>31</v>
      </c>
      <c r="AC5" s="29">
        <v>17</v>
      </c>
      <c r="AD5" s="29">
        <v>48</v>
      </c>
      <c r="AE5" s="29">
        <v>7.27</v>
      </c>
      <c r="AF5" s="29">
        <v>1</v>
      </c>
      <c r="AG5" s="29">
        <v>0</v>
      </c>
      <c r="AH5" s="29">
        <v>21</v>
      </c>
      <c r="AI5" s="29">
        <v>1</v>
      </c>
      <c r="AJ5" s="29">
        <v>0</v>
      </c>
      <c r="AK5" s="29">
        <v>23</v>
      </c>
      <c r="AL5" s="29" t="s">
        <v>76</v>
      </c>
      <c r="AM5" s="29" t="str">
        <f t="shared" si="0"/>
        <v>Sri Lanka</v>
      </c>
      <c r="AN5" s="29" t="s">
        <v>78</v>
      </c>
      <c r="AO5" s="29" t="s">
        <v>79</v>
      </c>
      <c r="AP5" s="29" t="s">
        <v>80</v>
      </c>
      <c r="AQ5" s="29" t="s">
        <v>81</v>
      </c>
      <c r="AR5" s="29" t="s">
        <v>82</v>
      </c>
      <c r="AS5" s="29" t="s">
        <v>54</v>
      </c>
      <c r="AT5" t="str">
        <f t="shared" si="1"/>
        <v>No</v>
      </c>
    </row>
    <row r="6" spans="1:46">
      <c r="A6" s="29">
        <v>5</v>
      </c>
      <c r="B6" s="37">
        <v>45207</v>
      </c>
      <c r="C6" s="38">
        <v>0.58333333333333304</v>
      </c>
      <c r="D6" s="29" t="s">
        <v>83</v>
      </c>
      <c r="E6" s="29" t="s">
        <v>84</v>
      </c>
      <c r="F6" s="29" t="s">
        <v>85</v>
      </c>
      <c r="G6" s="29" t="s">
        <v>86</v>
      </c>
      <c r="H6" s="29" t="s">
        <v>85</v>
      </c>
      <c r="I6" s="29" t="s">
        <v>87</v>
      </c>
      <c r="J6" s="29">
        <v>199</v>
      </c>
      <c r="K6" s="29">
        <v>10</v>
      </c>
      <c r="L6" s="29">
        <v>49.3</v>
      </c>
      <c r="M6" s="29">
        <v>1</v>
      </c>
      <c r="N6" s="29">
        <v>16</v>
      </c>
      <c r="O6" s="29">
        <v>2</v>
      </c>
      <c r="P6" s="29">
        <v>18</v>
      </c>
      <c r="Q6" s="29">
        <v>4.0199999999999996</v>
      </c>
      <c r="R6" s="29">
        <v>1</v>
      </c>
      <c r="S6" s="29">
        <v>1</v>
      </c>
      <c r="T6" s="29">
        <v>5</v>
      </c>
      <c r="U6" s="29">
        <v>1</v>
      </c>
      <c r="V6" s="29">
        <v>0</v>
      </c>
      <c r="W6" s="29">
        <v>8</v>
      </c>
      <c r="X6" s="29">
        <v>201</v>
      </c>
      <c r="Y6" s="29">
        <v>4</v>
      </c>
      <c r="Z6" s="29">
        <v>41.2</v>
      </c>
      <c r="AA6" s="29">
        <v>4</v>
      </c>
      <c r="AB6" s="29">
        <v>14</v>
      </c>
      <c r="AC6" s="29">
        <v>3</v>
      </c>
      <c r="AD6" s="29">
        <v>17</v>
      </c>
      <c r="AE6" s="29">
        <v>4.8600000000000003</v>
      </c>
      <c r="AF6" s="29">
        <v>6</v>
      </c>
      <c r="AG6" s="29">
        <v>0</v>
      </c>
      <c r="AH6" s="29">
        <v>6</v>
      </c>
      <c r="AI6" s="29">
        <v>0</v>
      </c>
      <c r="AJ6" s="29">
        <v>0</v>
      </c>
      <c r="AK6" s="29">
        <v>12</v>
      </c>
      <c r="AL6" s="29" t="s">
        <v>86</v>
      </c>
      <c r="AM6" s="29" t="str">
        <f t="shared" si="0"/>
        <v>Australia</v>
      </c>
      <c r="AN6" s="29" t="s">
        <v>88</v>
      </c>
      <c r="AO6" s="29" t="s">
        <v>89</v>
      </c>
      <c r="AP6" s="29" t="s">
        <v>90</v>
      </c>
      <c r="AQ6" s="29" t="s">
        <v>91</v>
      </c>
      <c r="AR6" s="29" t="s">
        <v>62</v>
      </c>
      <c r="AS6" s="29" t="s">
        <v>92</v>
      </c>
      <c r="AT6" t="str">
        <f t="shared" si="1"/>
        <v>No</v>
      </c>
    </row>
    <row r="7" spans="1:46">
      <c r="A7" s="29">
        <v>6</v>
      </c>
      <c r="B7" s="37">
        <v>45208</v>
      </c>
      <c r="C7" s="38">
        <v>0.58333333333333304</v>
      </c>
      <c r="D7" s="29" t="s">
        <v>55</v>
      </c>
      <c r="E7" s="29" t="s">
        <v>93</v>
      </c>
      <c r="F7" s="29" t="s">
        <v>47</v>
      </c>
      <c r="G7" s="29" t="s">
        <v>58</v>
      </c>
      <c r="H7" s="29" t="s">
        <v>58</v>
      </c>
      <c r="I7" s="29" t="s">
        <v>48</v>
      </c>
      <c r="J7" s="29">
        <v>322</v>
      </c>
      <c r="K7" s="29">
        <v>7</v>
      </c>
      <c r="L7" s="29">
        <v>50</v>
      </c>
      <c r="M7" s="29">
        <v>0</v>
      </c>
      <c r="N7" s="29">
        <v>30</v>
      </c>
      <c r="O7" s="29">
        <v>10</v>
      </c>
      <c r="P7" s="29">
        <v>40</v>
      </c>
      <c r="Q7" s="29">
        <v>6.44</v>
      </c>
      <c r="R7" s="29">
        <v>1</v>
      </c>
      <c r="S7" s="29">
        <v>0</v>
      </c>
      <c r="T7" s="29">
        <v>2</v>
      </c>
      <c r="U7" s="29">
        <v>1</v>
      </c>
      <c r="V7" s="29">
        <v>0</v>
      </c>
      <c r="W7" s="29">
        <v>4</v>
      </c>
      <c r="X7" s="29">
        <v>223</v>
      </c>
      <c r="Y7" s="29">
        <v>10</v>
      </c>
      <c r="Z7" s="29">
        <v>46.3</v>
      </c>
      <c r="AA7" s="29">
        <v>3</v>
      </c>
      <c r="AB7" s="29">
        <v>19</v>
      </c>
      <c r="AC7" s="29">
        <v>3</v>
      </c>
      <c r="AD7" s="29">
        <v>22</v>
      </c>
      <c r="AE7" s="29">
        <v>4.79</v>
      </c>
      <c r="AF7" s="29">
        <v>3</v>
      </c>
      <c r="AG7" s="29">
        <v>0</v>
      </c>
      <c r="AH7" s="29">
        <v>8</v>
      </c>
      <c r="AI7" s="29">
        <v>2</v>
      </c>
      <c r="AJ7" s="29">
        <v>0</v>
      </c>
      <c r="AK7" s="29">
        <v>13</v>
      </c>
      <c r="AL7" s="29" t="s">
        <v>47</v>
      </c>
      <c r="AM7" s="29" t="str">
        <f t="shared" si="0"/>
        <v>Netherlands</v>
      </c>
      <c r="AN7" s="29" t="s">
        <v>94</v>
      </c>
      <c r="AO7" s="29" t="s">
        <v>95</v>
      </c>
      <c r="AP7" s="29" t="s">
        <v>96</v>
      </c>
      <c r="AQ7" s="29" t="s">
        <v>63</v>
      </c>
      <c r="AR7" s="29" t="s">
        <v>71</v>
      </c>
      <c r="AS7" s="29" t="s">
        <v>73</v>
      </c>
      <c r="AT7" t="str">
        <f t="shared" si="1"/>
        <v>No</v>
      </c>
    </row>
    <row r="8" spans="1:46">
      <c r="A8" s="29">
        <v>7</v>
      </c>
      <c r="B8" s="37">
        <v>45209</v>
      </c>
      <c r="C8" s="38">
        <v>0.4375</v>
      </c>
      <c r="D8" s="29" t="s">
        <v>65</v>
      </c>
      <c r="E8" s="29" t="s">
        <v>66</v>
      </c>
      <c r="F8" s="29" t="s">
        <v>46</v>
      </c>
      <c r="G8" s="29" t="s">
        <v>68</v>
      </c>
      <c r="H8" s="29" t="s">
        <v>68</v>
      </c>
      <c r="I8" s="29" t="s">
        <v>48</v>
      </c>
      <c r="J8" s="29">
        <v>364</v>
      </c>
      <c r="K8" s="29">
        <v>9</v>
      </c>
      <c r="L8" s="29">
        <v>50</v>
      </c>
      <c r="M8" s="29">
        <v>1</v>
      </c>
      <c r="N8" s="29">
        <v>41</v>
      </c>
      <c r="O8" s="29">
        <v>7</v>
      </c>
      <c r="P8" s="29">
        <v>48</v>
      </c>
      <c r="Q8" s="29">
        <v>7.28</v>
      </c>
      <c r="R8" s="29">
        <v>4</v>
      </c>
      <c r="S8" s="29">
        <v>0</v>
      </c>
      <c r="T8" s="29">
        <v>3</v>
      </c>
      <c r="U8" s="29">
        <v>0</v>
      </c>
      <c r="V8" s="29">
        <v>0</v>
      </c>
      <c r="W8" s="29">
        <v>7</v>
      </c>
      <c r="X8" s="29">
        <v>227</v>
      </c>
      <c r="Y8" s="29">
        <v>10</v>
      </c>
      <c r="Z8" s="29">
        <v>48.2</v>
      </c>
      <c r="AA8" s="29">
        <v>0</v>
      </c>
      <c r="AB8" s="29">
        <v>17</v>
      </c>
      <c r="AC8" s="29">
        <v>3</v>
      </c>
      <c r="AD8" s="29">
        <v>20</v>
      </c>
      <c r="AE8" s="29">
        <v>4.6900000000000004</v>
      </c>
      <c r="AF8" s="29">
        <v>2</v>
      </c>
      <c r="AG8" s="29">
        <v>1</v>
      </c>
      <c r="AH8" s="29">
        <v>4</v>
      </c>
      <c r="AI8" s="29">
        <v>0</v>
      </c>
      <c r="AJ8" s="29">
        <v>0</v>
      </c>
      <c r="AK8" s="29">
        <v>7</v>
      </c>
      <c r="AL8" s="29" t="s">
        <v>46</v>
      </c>
      <c r="AM8" s="29" t="str">
        <f t="shared" si="0"/>
        <v>Bangladesh</v>
      </c>
      <c r="AN8" s="29" t="s">
        <v>97</v>
      </c>
      <c r="AO8" s="29" t="s">
        <v>98</v>
      </c>
      <c r="AP8" s="29" t="s">
        <v>72</v>
      </c>
      <c r="AQ8" s="29" t="s">
        <v>53</v>
      </c>
      <c r="AR8" s="29" t="s">
        <v>61</v>
      </c>
      <c r="AS8" s="29" t="s">
        <v>54</v>
      </c>
      <c r="AT8" t="str">
        <f t="shared" si="1"/>
        <v>No</v>
      </c>
    </row>
    <row r="9" spans="1:46">
      <c r="A9" s="29">
        <v>8</v>
      </c>
      <c r="B9" s="37">
        <v>45209</v>
      </c>
      <c r="C9" s="38">
        <v>0.58333333333333304</v>
      </c>
      <c r="D9" s="29" t="s">
        <v>55</v>
      </c>
      <c r="E9" s="29" t="s">
        <v>93</v>
      </c>
      <c r="F9" s="29" t="s">
        <v>77</v>
      </c>
      <c r="G9" s="29" t="s">
        <v>57</v>
      </c>
      <c r="H9" s="29" t="s">
        <v>77</v>
      </c>
      <c r="I9" s="29" t="s">
        <v>87</v>
      </c>
      <c r="J9" s="29">
        <v>344</v>
      </c>
      <c r="K9" s="29">
        <v>9</v>
      </c>
      <c r="L9" s="29">
        <v>50</v>
      </c>
      <c r="M9" s="29">
        <v>0</v>
      </c>
      <c r="N9" s="29">
        <v>36</v>
      </c>
      <c r="O9" s="29">
        <v>9</v>
      </c>
      <c r="P9" s="29">
        <v>45</v>
      </c>
      <c r="Q9" s="29">
        <v>6.88</v>
      </c>
      <c r="R9" s="29">
        <v>0</v>
      </c>
      <c r="S9" s="29">
        <v>0</v>
      </c>
      <c r="T9" s="29">
        <v>25</v>
      </c>
      <c r="U9" s="29">
        <v>1</v>
      </c>
      <c r="V9" s="29">
        <v>0</v>
      </c>
      <c r="W9" s="29">
        <v>26</v>
      </c>
      <c r="X9" s="29">
        <v>345</v>
      </c>
      <c r="Y9" s="29">
        <v>4</v>
      </c>
      <c r="Z9" s="29">
        <v>48.2</v>
      </c>
      <c r="AA9" s="29">
        <v>0</v>
      </c>
      <c r="AB9" s="29">
        <v>26</v>
      </c>
      <c r="AC9" s="29">
        <v>6</v>
      </c>
      <c r="AD9" s="29">
        <v>32</v>
      </c>
      <c r="AE9" s="29">
        <v>7.13</v>
      </c>
      <c r="AF9" s="29">
        <v>2</v>
      </c>
      <c r="AG9" s="29">
        <v>2</v>
      </c>
      <c r="AH9" s="29">
        <v>9</v>
      </c>
      <c r="AI9" s="29">
        <v>1</v>
      </c>
      <c r="AJ9" s="29">
        <v>0</v>
      </c>
      <c r="AK9" s="29">
        <v>14</v>
      </c>
      <c r="AL9" s="29" t="s">
        <v>57</v>
      </c>
      <c r="AM9" s="29" t="str">
        <f t="shared" si="0"/>
        <v>Sri Lanka</v>
      </c>
      <c r="AN9" s="29" t="s">
        <v>69</v>
      </c>
      <c r="AO9" s="29" t="s">
        <v>99</v>
      </c>
      <c r="AP9" s="29" t="s">
        <v>90</v>
      </c>
      <c r="AQ9" s="29" t="s">
        <v>100</v>
      </c>
      <c r="AR9" s="29" t="s">
        <v>52</v>
      </c>
      <c r="AS9" s="29" t="s">
        <v>73</v>
      </c>
      <c r="AT9" t="str">
        <f t="shared" si="1"/>
        <v>No</v>
      </c>
    </row>
    <row r="10" spans="1:46">
      <c r="A10" s="29">
        <v>9</v>
      </c>
      <c r="B10" s="37">
        <v>45210</v>
      </c>
      <c r="C10" s="38">
        <v>0.58333333333333304</v>
      </c>
      <c r="D10" s="29" t="s">
        <v>74</v>
      </c>
      <c r="E10" s="29" t="s">
        <v>75</v>
      </c>
      <c r="F10" s="29" t="s">
        <v>67</v>
      </c>
      <c r="G10" s="29" t="s">
        <v>86</v>
      </c>
      <c r="H10" s="29" t="s">
        <v>67</v>
      </c>
      <c r="I10" s="29" t="s">
        <v>87</v>
      </c>
      <c r="J10" s="29">
        <v>272</v>
      </c>
      <c r="K10" s="29">
        <v>8</v>
      </c>
      <c r="L10" s="29">
        <v>50</v>
      </c>
      <c r="M10" s="29">
        <v>0</v>
      </c>
      <c r="N10" s="29">
        <v>25</v>
      </c>
      <c r="O10" s="29">
        <v>7</v>
      </c>
      <c r="P10" s="29">
        <v>32</v>
      </c>
      <c r="Q10" s="29">
        <v>5.44</v>
      </c>
      <c r="R10" s="29">
        <v>4</v>
      </c>
      <c r="S10" s="29">
        <v>1</v>
      </c>
      <c r="T10" s="29">
        <v>10</v>
      </c>
      <c r="U10" s="29">
        <v>0</v>
      </c>
      <c r="V10" s="29">
        <v>0</v>
      </c>
      <c r="W10" s="29">
        <v>15</v>
      </c>
      <c r="X10" s="29">
        <v>273</v>
      </c>
      <c r="Y10" s="29">
        <v>2</v>
      </c>
      <c r="Z10" s="29">
        <v>35</v>
      </c>
      <c r="AA10" s="29">
        <v>0</v>
      </c>
      <c r="AB10" s="29">
        <v>28</v>
      </c>
      <c r="AC10" s="29">
        <v>8</v>
      </c>
      <c r="AD10" s="29">
        <v>36</v>
      </c>
      <c r="AE10" s="29">
        <v>7.8</v>
      </c>
      <c r="AF10" s="29">
        <v>3</v>
      </c>
      <c r="AG10" s="29">
        <v>2</v>
      </c>
      <c r="AH10" s="29">
        <v>8</v>
      </c>
      <c r="AI10" s="29">
        <v>2</v>
      </c>
      <c r="AJ10" s="29">
        <v>0</v>
      </c>
      <c r="AK10" s="29">
        <v>15</v>
      </c>
      <c r="AL10" s="29" t="s">
        <v>86</v>
      </c>
      <c r="AM10" s="29" t="str">
        <f t="shared" si="0"/>
        <v>Afghanistan</v>
      </c>
      <c r="AN10" s="29" t="s">
        <v>101</v>
      </c>
      <c r="AO10" s="29" t="s">
        <v>102</v>
      </c>
      <c r="AP10" s="29" t="s">
        <v>82</v>
      </c>
      <c r="AQ10" s="29" t="s">
        <v>96</v>
      </c>
      <c r="AR10" s="29" t="s">
        <v>103</v>
      </c>
      <c r="AS10" s="29" t="s">
        <v>64</v>
      </c>
      <c r="AT10" t="str">
        <f t="shared" si="1"/>
        <v>No</v>
      </c>
    </row>
    <row r="11" spans="1:46">
      <c r="A11" s="29">
        <v>10</v>
      </c>
      <c r="B11" s="37">
        <v>45211</v>
      </c>
      <c r="C11" s="38">
        <v>0.58333333333333304</v>
      </c>
      <c r="D11" s="29" t="s">
        <v>104</v>
      </c>
      <c r="E11" s="29" t="s">
        <v>105</v>
      </c>
      <c r="F11" s="29" t="s">
        <v>76</v>
      </c>
      <c r="G11" s="29" t="s">
        <v>85</v>
      </c>
      <c r="H11" s="29" t="s">
        <v>85</v>
      </c>
      <c r="I11" s="29" t="s">
        <v>48</v>
      </c>
      <c r="J11" s="29">
        <v>311</v>
      </c>
      <c r="K11" s="29">
        <v>7</v>
      </c>
      <c r="L11" s="29">
        <v>50</v>
      </c>
      <c r="M11" s="29">
        <v>3</v>
      </c>
      <c r="N11" s="29">
        <v>26</v>
      </c>
      <c r="O11" s="29">
        <v>8</v>
      </c>
      <c r="P11" s="29">
        <v>34</v>
      </c>
      <c r="Q11" s="29">
        <v>6.22</v>
      </c>
      <c r="R11" s="29">
        <v>4</v>
      </c>
      <c r="S11" s="29">
        <v>0</v>
      </c>
      <c r="T11" s="29">
        <v>11</v>
      </c>
      <c r="U11" s="29">
        <v>2</v>
      </c>
      <c r="V11" s="29">
        <v>0</v>
      </c>
      <c r="W11" s="29">
        <v>17</v>
      </c>
      <c r="X11" s="29">
        <v>177</v>
      </c>
      <c r="Y11" s="29">
        <v>10</v>
      </c>
      <c r="Z11" s="29">
        <v>40.5</v>
      </c>
      <c r="AA11" s="29">
        <v>2</v>
      </c>
      <c r="AB11" s="29">
        <v>19</v>
      </c>
      <c r="AC11" s="29">
        <v>0</v>
      </c>
      <c r="AD11" s="29">
        <v>19</v>
      </c>
      <c r="AE11" s="29">
        <v>4.33</v>
      </c>
      <c r="AF11" s="29">
        <v>2</v>
      </c>
      <c r="AG11" s="29">
        <v>4</v>
      </c>
      <c r="AH11" s="29">
        <v>7</v>
      </c>
      <c r="AI11" s="29">
        <v>0</v>
      </c>
      <c r="AJ11" s="29">
        <v>0</v>
      </c>
      <c r="AK11" s="29">
        <v>13</v>
      </c>
      <c r="AL11" s="29" t="s">
        <v>76</v>
      </c>
      <c r="AM11" s="29" t="str">
        <f t="shared" si="0"/>
        <v>Australia</v>
      </c>
      <c r="AN11" s="29" t="s">
        <v>106</v>
      </c>
      <c r="AO11" s="29" t="s">
        <v>107</v>
      </c>
      <c r="AP11" s="29" t="s">
        <v>71</v>
      </c>
      <c r="AQ11" s="29" t="s">
        <v>80</v>
      </c>
      <c r="AR11" s="29" t="s">
        <v>91</v>
      </c>
      <c r="AS11" s="29" t="s">
        <v>54</v>
      </c>
      <c r="AT11" t="str">
        <f t="shared" si="1"/>
        <v>No</v>
      </c>
    </row>
    <row r="12" spans="1:46">
      <c r="A12" s="29">
        <v>11</v>
      </c>
      <c r="B12" s="37">
        <v>45212</v>
      </c>
      <c r="C12" s="38">
        <v>0.58333333333333304</v>
      </c>
      <c r="D12" s="29" t="s">
        <v>83</v>
      </c>
      <c r="E12" s="29" t="s">
        <v>84</v>
      </c>
      <c r="F12" s="29" t="s">
        <v>68</v>
      </c>
      <c r="G12" s="29" t="s">
        <v>47</v>
      </c>
      <c r="H12" s="29" t="s">
        <v>47</v>
      </c>
      <c r="I12" s="29" t="s">
        <v>48</v>
      </c>
      <c r="J12" s="29">
        <v>245</v>
      </c>
      <c r="K12" s="29">
        <v>9</v>
      </c>
      <c r="L12" s="29">
        <v>50</v>
      </c>
      <c r="M12" s="29">
        <v>1</v>
      </c>
      <c r="N12" s="29">
        <v>20</v>
      </c>
      <c r="O12" s="29">
        <v>8</v>
      </c>
      <c r="P12" s="29">
        <v>28</v>
      </c>
      <c r="Q12" s="29">
        <v>4.9000000000000004</v>
      </c>
      <c r="R12" s="29">
        <v>1</v>
      </c>
      <c r="S12" s="29">
        <v>0</v>
      </c>
      <c r="T12" s="29">
        <v>10</v>
      </c>
      <c r="U12" s="29">
        <v>0</v>
      </c>
      <c r="V12" s="29">
        <v>0</v>
      </c>
      <c r="W12" s="29">
        <v>11</v>
      </c>
      <c r="X12" s="29">
        <v>248</v>
      </c>
      <c r="Y12" s="29">
        <v>2</v>
      </c>
      <c r="Z12" s="29">
        <v>42.5</v>
      </c>
      <c r="AA12" s="29">
        <v>1</v>
      </c>
      <c r="AB12" s="29">
        <v>20</v>
      </c>
      <c r="AC12" s="29">
        <v>6</v>
      </c>
      <c r="AD12" s="29">
        <v>26</v>
      </c>
      <c r="AE12" s="29">
        <v>5.78</v>
      </c>
      <c r="AF12" s="29">
        <v>1</v>
      </c>
      <c r="AG12" s="29">
        <v>0</v>
      </c>
      <c r="AH12" s="29">
        <v>4</v>
      </c>
      <c r="AI12" s="29">
        <v>4</v>
      </c>
      <c r="AJ12" s="29">
        <v>0</v>
      </c>
      <c r="AK12" s="29">
        <v>9</v>
      </c>
      <c r="AL12" s="29" t="s">
        <v>47</v>
      </c>
      <c r="AM12" s="29" t="str">
        <f t="shared" si="0"/>
        <v>Bangladesh</v>
      </c>
      <c r="AN12" s="29" t="s">
        <v>101</v>
      </c>
      <c r="AO12" s="29" t="s">
        <v>108</v>
      </c>
      <c r="AP12" s="29" t="s">
        <v>51</v>
      </c>
      <c r="AQ12" s="29" t="s">
        <v>52</v>
      </c>
      <c r="AR12" s="29" t="s">
        <v>82</v>
      </c>
      <c r="AS12" s="29" t="s">
        <v>92</v>
      </c>
      <c r="AT12" t="str">
        <f t="shared" si="1"/>
        <v>yes</v>
      </c>
    </row>
    <row r="13" spans="1:46">
      <c r="A13" s="29">
        <v>12</v>
      </c>
      <c r="B13" s="37">
        <v>45213</v>
      </c>
      <c r="C13" s="38">
        <v>0.58333333333333304</v>
      </c>
      <c r="D13" s="29" t="s">
        <v>44</v>
      </c>
      <c r="E13" s="29" t="s">
        <v>45</v>
      </c>
      <c r="F13" s="29" t="s">
        <v>57</v>
      </c>
      <c r="G13" s="29" t="s">
        <v>86</v>
      </c>
      <c r="H13" s="29" t="s">
        <v>86</v>
      </c>
      <c r="I13" s="29" t="s">
        <v>48</v>
      </c>
      <c r="J13" s="29">
        <v>191</v>
      </c>
      <c r="K13" s="29">
        <v>10</v>
      </c>
      <c r="L13" s="29">
        <v>42.5</v>
      </c>
      <c r="M13" s="29">
        <v>0</v>
      </c>
      <c r="N13" s="29">
        <v>26</v>
      </c>
      <c r="O13" s="29">
        <v>0</v>
      </c>
      <c r="P13" s="29">
        <v>26</v>
      </c>
      <c r="Q13" s="29">
        <v>4.45</v>
      </c>
      <c r="R13" s="29">
        <v>5</v>
      </c>
      <c r="S13" s="29">
        <v>0</v>
      </c>
      <c r="T13" s="29">
        <v>1</v>
      </c>
      <c r="U13" s="29">
        <v>0</v>
      </c>
      <c r="V13" s="29">
        <v>0</v>
      </c>
      <c r="W13" s="29">
        <v>6</v>
      </c>
      <c r="X13" s="29">
        <v>192</v>
      </c>
      <c r="Y13" s="29">
        <v>3</v>
      </c>
      <c r="Z13" s="29">
        <v>30.3</v>
      </c>
      <c r="AA13" s="29">
        <v>1</v>
      </c>
      <c r="AB13" s="29">
        <v>17</v>
      </c>
      <c r="AC13" s="29">
        <v>8</v>
      </c>
      <c r="AD13" s="29">
        <v>25</v>
      </c>
      <c r="AE13" s="29">
        <v>6.29</v>
      </c>
      <c r="AF13" s="29">
        <v>2</v>
      </c>
      <c r="AG13" s="29">
        <v>1</v>
      </c>
      <c r="AH13" s="29">
        <v>1</v>
      </c>
      <c r="AI13" s="29">
        <v>0</v>
      </c>
      <c r="AJ13" s="29">
        <v>0</v>
      </c>
      <c r="AK13" s="29">
        <v>4</v>
      </c>
      <c r="AL13" s="29" t="s">
        <v>86</v>
      </c>
      <c r="AM13" s="29" t="str">
        <f t="shared" si="0"/>
        <v>Pakistan</v>
      </c>
      <c r="AN13" s="29" t="s">
        <v>109</v>
      </c>
      <c r="AO13" s="29" t="s">
        <v>110</v>
      </c>
      <c r="AP13" s="29" t="s">
        <v>80</v>
      </c>
      <c r="AQ13" s="29" t="s">
        <v>103</v>
      </c>
      <c r="AR13" s="29" t="s">
        <v>91</v>
      </c>
      <c r="AS13" s="29" t="s">
        <v>73</v>
      </c>
      <c r="AT13" t="str">
        <f t="shared" si="1"/>
        <v>yes</v>
      </c>
    </row>
    <row r="14" spans="1:46">
      <c r="A14" s="29">
        <v>13</v>
      </c>
      <c r="B14" s="37">
        <v>45214</v>
      </c>
      <c r="C14" s="38">
        <v>0.58333333333333304</v>
      </c>
      <c r="D14" s="29" t="s">
        <v>74</v>
      </c>
      <c r="E14" s="29" t="s">
        <v>75</v>
      </c>
      <c r="F14" s="29" t="s">
        <v>67</v>
      </c>
      <c r="G14" s="29" t="s">
        <v>46</v>
      </c>
      <c r="H14" s="29" t="s">
        <v>46</v>
      </c>
      <c r="I14" s="29" t="s">
        <v>48</v>
      </c>
      <c r="J14" s="29">
        <v>284</v>
      </c>
      <c r="K14" s="29">
        <v>10</v>
      </c>
      <c r="L14" s="29">
        <v>49.5</v>
      </c>
      <c r="M14" s="29">
        <v>3</v>
      </c>
      <c r="N14" s="29">
        <v>23</v>
      </c>
      <c r="O14" s="29">
        <v>8</v>
      </c>
      <c r="P14" s="29">
        <v>31</v>
      </c>
      <c r="Q14" s="29">
        <v>5.69</v>
      </c>
      <c r="R14" s="29">
        <v>4</v>
      </c>
      <c r="S14" s="29">
        <v>0</v>
      </c>
      <c r="T14" s="29">
        <v>8</v>
      </c>
      <c r="U14" s="29">
        <v>1</v>
      </c>
      <c r="V14" s="29">
        <v>0</v>
      </c>
      <c r="W14" s="29">
        <v>13</v>
      </c>
      <c r="X14" s="29">
        <v>215</v>
      </c>
      <c r="Y14" s="29">
        <v>10</v>
      </c>
      <c r="Z14" s="29">
        <v>40.299999999999997</v>
      </c>
      <c r="AA14" s="29">
        <v>2</v>
      </c>
      <c r="AB14" s="29">
        <v>24</v>
      </c>
      <c r="AC14" s="29">
        <v>1</v>
      </c>
      <c r="AD14" s="29">
        <v>25</v>
      </c>
      <c r="AE14" s="29">
        <v>5.3</v>
      </c>
      <c r="AF14" s="29">
        <v>1</v>
      </c>
      <c r="AG14" s="29">
        <v>0</v>
      </c>
      <c r="AH14" s="29">
        <v>11</v>
      </c>
      <c r="AI14" s="29">
        <v>3</v>
      </c>
      <c r="AJ14" s="29">
        <v>0</v>
      </c>
      <c r="AK14" s="29">
        <v>15</v>
      </c>
      <c r="AL14" s="29" t="s">
        <v>67</v>
      </c>
      <c r="AM14" s="29" t="str">
        <f t="shared" si="0"/>
        <v>England</v>
      </c>
      <c r="AN14" s="29" t="s">
        <v>168</v>
      </c>
      <c r="AO14" s="29" t="s">
        <v>112</v>
      </c>
      <c r="AP14" s="29" t="s">
        <v>81</v>
      </c>
      <c r="AQ14" s="29" t="s">
        <v>63</v>
      </c>
      <c r="AR14" s="29" t="s">
        <v>96</v>
      </c>
      <c r="AS14" s="29" t="s">
        <v>64</v>
      </c>
      <c r="AT14" t="str">
        <f t="shared" si="1"/>
        <v>No</v>
      </c>
    </row>
    <row r="15" spans="1:46">
      <c r="A15" s="29">
        <v>14</v>
      </c>
      <c r="B15" s="37">
        <v>45215</v>
      </c>
      <c r="C15" s="38">
        <v>0.58333333333333304</v>
      </c>
      <c r="D15" s="29" t="s">
        <v>104</v>
      </c>
      <c r="E15" s="29" t="s">
        <v>105</v>
      </c>
      <c r="F15" s="29" t="s">
        <v>77</v>
      </c>
      <c r="G15" s="29" t="s">
        <v>85</v>
      </c>
      <c r="H15" s="29" t="s">
        <v>77</v>
      </c>
      <c r="I15" s="29" t="s">
        <v>87</v>
      </c>
      <c r="J15" s="29">
        <v>209</v>
      </c>
      <c r="K15" s="29">
        <v>10</v>
      </c>
      <c r="L15" s="29">
        <v>43.3</v>
      </c>
      <c r="M15" s="29">
        <v>2</v>
      </c>
      <c r="N15" s="29">
        <v>23</v>
      </c>
      <c r="O15" s="29">
        <v>1</v>
      </c>
      <c r="P15" s="29">
        <v>24</v>
      </c>
      <c r="Q15" s="29">
        <v>4.8</v>
      </c>
      <c r="R15" s="29">
        <v>0</v>
      </c>
      <c r="S15" s="29">
        <v>0</v>
      </c>
      <c r="T15" s="29">
        <v>3</v>
      </c>
      <c r="U15" s="29">
        <v>0</v>
      </c>
      <c r="V15" s="29">
        <v>0</v>
      </c>
      <c r="W15" s="29">
        <v>3</v>
      </c>
      <c r="X15" s="29">
        <v>215</v>
      </c>
      <c r="Y15" s="29">
        <v>5</v>
      </c>
      <c r="Z15" s="29">
        <v>35.200000000000003</v>
      </c>
      <c r="AA15" s="29">
        <v>2</v>
      </c>
      <c r="AB15" s="29">
        <v>22</v>
      </c>
      <c r="AC15" s="29">
        <v>5</v>
      </c>
      <c r="AD15" s="29">
        <v>27</v>
      </c>
      <c r="AE15" s="29">
        <v>6.08</v>
      </c>
      <c r="AF15" s="29">
        <v>2</v>
      </c>
      <c r="AG15" s="29">
        <v>2</v>
      </c>
      <c r="AH15" s="29">
        <v>9</v>
      </c>
      <c r="AI15" s="29">
        <v>0</v>
      </c>
      <c r="AJ15" s="29">
        <v>0</v>
      </c>
      <c r="AK15" s="29">
        <v>13</v>
      </c>
      <c r="AL15" s="29" t="s">
        <v>85</v>
      </c>
      <c r="AM15" s="29" t="str">
        <f t="shared" si="0"/>
        <v>Sri Lanka</v>
      </c>
      <c r="AN15" s="29" t="s">
        <v>113</v>
      </c>
      <c r="AO15" s="29" t="s">
        <v>114</v>
      </c>
      <c r="AP15" s="29" t="s">
        <v>100</v>
      </c>
      <c r="AQ15" s="29" t="s">
        <v>90</v>
      </c>
      <c r="AR15" s="29" t="s">
        <v>62</v>
      </c>
      <c r="AS15" s="29" t="s">
        <v>92</v>
      </c>
      <c r="AT15" t="str">
        <f t="shared" si="1"/>
        <v>No</v>
      </c>
    </row>
    <row r="16" spans="1:46">
      <c r="A16" s="29">
        <v>15</v>
      </c>
      <c r="B16" s="37">
        <v>45216</v>
      </c>
      <c r="C16" s="38">
        <v>0.58333333333333304</v>
      </c>
      <c r="D16" s="29" t="s">
        <v>65</v>
      </c>
      <c r="E16" s="29" t="s">
        <v>66</v>
      </c>
      <c r="F16" s="29" t="s">
        <v>58</v>
      </c>
      <c r="G16" s="29" t="s">
        <v>76</v>
      </c>
      <c r="H16" s="29" t="s">
        <v>76</v>
      </c>
      <c r="I16" s="29" t="s">
        <v>48</v>
      </c>
      <c r="J16" s="29">
        <v>245</v>
      </c>
      <c r="K16" s="29">
        <v>8</v>
      </c>
      <c r="L16" s="29">
        <v>43</v>
      </c>
      <c r="M16" s="29">
        <v>1</v>
      </c>
      <c r="N16" s="29">
        <v>23</v>
      </c>
      <c r="O16" s="29">
        <v>6</v>
      </c>
      <c r="P16" s="29">
        <v>29</v>
      </c>
      <c r="Q16" s="29">
        <v>5.69</v>
      </c>
      <c r="R16" s="29">
        <v>2</v>
      </c>
      <c r="S16" s="29">
        <v>0</v>
      </c>
      <c r="T16" s="29">
        <v>5</v>
      </c>
      <c r="U16" s="29">
        <v>1</v>
      </c>
      <c r="V16" s="29">
        <v>0</v>
      </c>
      <c r="W16" s="29">
        <v>8</v>
      </c>
      <c r="X16" s="29">
        <v>207</v>
      </c>
      <c r="Y16" s="29">
        <v>10</v>
      </c>
      <c r="Z16" s="29">
        <v>42.5</v>
      </c>
      <c r="AA16" s="29">
        <v>3</v>
      </c>
      <c r="AB16" s="29">
        <v>19</v>
      </c>
      <c r="AC16" s="29">
        <v>5</v>
      </c>
      <c r="AD16" s="29">
        <v>24</v>
      </c>
      <c r="AE16" s="29">
        <v>4.83</v>
      </c>
      <c r="AF16" s="29">
        <v>10</v>
      </c>
      <c r="AG16" s="29">
        <v>0</v>
      </c>
      <c r="AH16" s="29">
        <v>21</v>
      </c>
      <c r="AI16" s="29">
        <v>1</v>
      </c>
      <c r="AJ16" s="29">
        <v>0</v>
      </c>
      <c r="AK16" s="29">
        <v>32</v>
      </c>
      <c r="AL16" s="29" t="s">
        <v>58</v>
      </c>
      <c r="AM16" s="29" t="str">
        <f t="shared" si="0"/>
        <v>South Africa</v>
      </c>
      <c r="AN16" s="29" t="s">
        <v>115</v>
      </c>
      <c r="AO16" s="29" t="s">
        <v>116</v>
      </c>
      <c r="AP16" s="29" t="s">
        <v>91</v>
      </c>
      <c r="AQ16" s="29" t="s">
        <v>82</v>
      </c>
      <c r="AR16" s="29" t="s">
        <v>81</v>
      </c>
      <c r="AS16" s="29" t="s">
        <v>64</v>
      </c>
      <c r="AT16" t="str">
        <f t="shared" si="1"/>
        <v>No</v>
      </c>
    </row>
    <row r="17" spans="1:46">
      <c r="A17" s="29">
        <v>16</v>
      </c>
      <c r="B17" s="37">
        <v>45217</v>
      </c>
      <c r="C17" s="38">
        <v>0.58333333333333304</v>
      </c>
      <c r="D17" s="29" t="s">
        <v>83</v>
      </c>
      <c r="E17" s="29" t="s">
        <v>84</v>
      </c>
      <c r="F17" s="29" t="s">
        <v>47</v>
      </c>
      <c r="G17" s="29" t="s">
        <v>67</v>
      </c>
      <c r="H17" s="29" t="s">
        <v>67</v>
      </c>
      <c r="I17" s="29" t="s">
        <v>48</v>
      </c>
      <c r="J17" s="29">
        <v>288</v>
      </c>
      <c r="K17" s="29">
        <v>6</v>
      </c>
      <c r="L17" s="29">
        <v>50</v>
      </c>
      <c r="M17" s="29">
        <v>4</v>
      </c>
      <c r="N17" s="29">
        <v>19</v>
      </c>
      <c r="O17" s="29">
        <v>11</v>
      </c>
      <c r="P17" s="29">
        <v>30</v>
      </c>
      <c r="Q17" s="29">
        <v>5.76</v>
      </c>
      <c r="R17" s="29">
        <v>0</v>
      </c>
      <c r="S17" s="29">
        <v>0</v>
      </c>
      <c r="T17" s="29">
        <v>5</v>
      </c>
      <c r="U17" s="29">
        <v>0</v>
      </c>
      <c r="V17" s="29">
        <v>0</v>
      </c>
      <c r="W17" s="29">
        <v>5</v>
      </c>
      <c r="X17" s="29">
        <v>139</v>
      </c>
      <c r="Y17" s="29">
        <v>10</v>
      </c>
      <c r="Z17" s="29">
        <v>34.4</v>
      </c>
      <c r="AA17" s="29">
        <v>2</v>
      </c>
      <c r="AB17" s="29">
        <v>11</v>
      </c>
      <c r="AC17" s="29">
        <v>2</v>
      </c>
      <c r="AD17" s="29">
        <v>13</v>
      </c>
      <c r="AE17" s="29">
        <v>4</v>
      </c>
      <c r="AF17" s="29">
        <v>4</v>
      </c>
      <c r="AG17" s="29">
        <v>0</v>
      </c>
      <c r="AH17" s="29">
        <v>5</v>
      </c>
      <c r="AI17" s="29">
        <v>1</v>
      </c>
      <c r="AJ17" s="29">
        <v>0</v>
      </c>
      <c r="AK17" s="29">
        <v>10</v>
      </c>
      <c r="AL17" s="29" t="s">
        <v>47</v>
      </c>
      <c r="AM17" s="29" t="str">
        <f t="shared" si="0"/>
        <v>Afghanistan</v>
      </c>
      <c r="AN17" s="29" t="s">
        <v>117</v>
      </c>
      <c r="AO17" s="29" t="s">
        <v>118</v>
      </c>
      <c r="AP17" s="29" t="s">
        <v>53</v>
      </c>
      <c r="AQ17" s="29" t="s">
        <v>71</v>
      </c>
      <c r="AR17" s="29" t="s">
        <v>100</v>
      </c>
      <c r="AS17" s="29" t="s">
        <v>54</v>
      </c>
      <c r="AT17" t="str">
        <f t="shared" si="1"/>
        <v>No</v>
      </c>
    </row>
    <row r="18" spans="1:46">
      <c r="A18" s="29">
        <v>17</v>
      </c>
      <c r="B18" s="37">
        <v>45218</v>
      </c>
      <c r="C18" s="38">
        <v>0.58333333333333304</v>
      </c>
      <c r="D18" s="29" t="s">
        <v>119</v>
      </c>
      <c r="E18" s="29" t="s">
        <v>120</v>
      </c>
      <c r="F18" s="29" t="s">
        <v>68</v>
      </c>
      <c r="G18" s="29" t="s">
        <v>86</v>
      </c>
      <c r="H18" s="29" t="s">
        <v>68</v>
      </c>
      <c r="I18" s="29" t="s">
        <v>87</v>
      </c>
      <c r="J18" s="29">
        <v>256</v>
      </c>
      <c r="K18" s="29">
        <v>8</v>
      </c>
      <c r="L18" s="29">
        <v>50</v>
      </c>
      <c r="M18" s="29">
        <v>0</v>
      </c>
      <c r="N18" s="29">
        <v>18</v>
      </c>
      <c r="O18" s="29">
        <v>8</v>
      </c>
      <c r="P18" s="29">
        <v>26</v>
      </c>
      <c r="Q18" s="29">
        <v>5.12</v>
      </c>
      <c r="R18" s="29">
        <v>0</v>
      </c>
      <c r="S18" s="29">
        <v>0</v>
      </c>
      <c r="T18" s="29">
        <v>2</v>
      </c>
      <c r="U18" s="29">
        <v>2</v>
      </c>
      <c r="V18" s="29">
        <v>0</v>
      </c>
      <c r="W18" s="29">
        <v>4</v>
      </c>
      <c r="X18" s="29">
        <v>261</v>
      </c>
      <c r="Y18" s="29">
        <v>3</v>
      </c>
      <c r="Z18" s="29">
        <v>41.3</v>
      </c>
      <c r="AA18" s="29">
        <v>1</v>
      </c>
      <c r="AB18" s="29">
        <v>23</v>
      </c>
      <c r="AC18" s="29">
        <v>9</v>
      </c>
      <c r="AD18" s="29">
        <v>32</v>
      </c>
      <c r="AE18" s="29">
        <v>6.28</v>
      </c>
      <c r="AF18" s="29">
        <v>1</v>
      </c>
      <c r="AG18" s="29">
        <v>0</v>
      </c>
      <c r="AH18" s="29">
        <v>5</v>
      </c>
      <c r="AI18" s="29">
        <v>0</v>
      </c>
      <c r="AJ18" s="29">
        <v>0</v>
      </c>
      <c r="AK18" s="29">
        <v>6</v>
      </c>
      <c r="AL18" s="29" t="s">
        <v>86</v>
      </c>
      <c r="AM18" s="29" t="str">
        <f t="shared" si="0"/>
        <v>Bangladesh</v>
      </c>
      <c r="AN18" s="29" t="s">
        <v>109</v>
      </c>
      <c r="AO18" s="29" t="s">
        <v>121</v>
      </c>
      <c r="AP18" s="29" t="s">
        <v>61</v>
      </c>
      <c r="AQ18" s="29" t="s">
        <v>91</v>
      </c>
      <c r="AR18" s="29" t="s">
        <v>51</v>
      </c>
      <c r="AS18" s="29" t="s">
        <v>73</v>
      </c>
      <c r="AT18" t="str">
        <f t="shared" si="1"/>
        <v>No</v>
      </c>
    </row>
    <row r="19" spans="1:46">
      <c r="A19" s="29">
        <v>18</v>
      </c>
      <c r="B19" s="37">
        <v>45219</v>
      </c>
      <c r="C19" s="38">
        <v>0.58333333333333304</v>
      </c>
      <c r="D19" s="29" t="s">
        <v>122</v>
      </c>
      <c r="E19" s="29" t="s">
        <v>123</v>
      </c>
      <c r="F19" s="29" t="s">
        <v>85</v>
      </c>
      <c r="G19" s="29" t="s">
        <v>57</v>
      </c>
      <c r="H19" s="29" t="s">
        <v>57</v>
      </c>
      <c r="I19" s="29" t="s">
        <v>48</v>
      </c>
      <c r="J19" s="29">
        <v>367</v>
      </c>
      <c r="K19" s="29">
        <v>9</v>
      </c>
      <c r="L19" s="29">
        <v>50</v>
      </c>
      <c r="M19" s="29">
        <v>1</v>
      </c>
      <c r="N19" s="29">
        <v>29</v>
      </c>
      <c r="O19" s="29">
        <v>19</v>
      </c>
      <c r="P19" s="29">
        <v>48</v>
      </c>
      <c r="Q19" s="29">
        <v>7.34</v>
      </c>
      <c r="R19" s="29">
        <v>7</v>
      </c>
      <c r="S19" s="29">
        <v>1</v>
      </c>
      <c r="T19" s="29">
        <v>11</v>
      </c>
      <c r="U19" s="29">
        <v>0</v>
      </c>
      <c r="V19" s="29">
        <v>0</v>
      </c>
      <c r="W19" s="29">
        <v>19</v>
      </c>
      <c r="X19" s="29">
        <v>305</v>
      </c>
      <c r="Y19" s="29">
        <v>10</v>
      </c>
      <c r="Z19" s="29">
        <v>45.3</v>
      </c>
      <c r="AA19" s="29">
        <v>1</v>
      </c>
      <c r="AB19" s="29">
        <v>34</v>
      </c>
      <c r="AC19" s="29">
        <v>6</v>
      </c>
      <c r="AD19" s="29">
        <v>40</v>
      </c>
      <c r="AE19" s="29">
        <v>6.7</v>
      </c>
      <c r="AF19" s="29">
        <v>10</v>
      </c>
      <c r="AG19" s="29">
        <v>1</v>
      </c>
      <c r="AH19" s="29">
        <v>14</v>
      </c>
      <c r="AI19" s="29">
        <v>0</v>
      </c>
      <c r="AJ19" s="29">
        <v>0</v>
      </c>
      <c r="AK19" s="29">
        <v>25</v>
      </c>
      <c r="AL19" s="29" t="s">
        <v>85</v>
      </c>
      <c r="AM19" s="29" t="str">
        <f t="shared" si="0"/>
        <v>Pakistan</v>
      </c>
      <c r="AN19" s="29" t="s">
        <v>124</v>
      </c>
      <c r="AO19" s="29" t="s">
        <v>125</v>
      </c>
      <c r="AP19" s="29" t="s">
        <v>80</v>
      </c>
      <c r="AQ19" s="29" t="s">
        <v>62</v>
      </c>
      <c r="AR19" s="29" t="s">
        <v>100</v>
      </c>
      <c r="AS19" s="29" t="s">
        <v>92</v>
      </c>
      <c r="AT19" t="str">
        <f t="shared" si="1"/>
        <v>No</v>
      </c>
    </row>
    <row r="20" spans="1:46">
      <c r="A20" s="29">
        <v>19</v>
      </c>
      <c r="B20" s="37">
        <v>45220</v>
      </c>
      <c r="C20" s="38">
        <v>0.4375</v>
      </c>
      <c r="D20" s="29" t="s">
        <v>104</v>
      </c>
      <c r="E20" s="29" t="s">
        <v>105</v>
      </c>
      <c r="F20" s="29" t="s">
        <v>58</v>
      </c>
      <c r="G20" s="29" t="s">
        <v>77</v>
      </c>
      <c r="H20" s="29" t="s">
        <v>58</v>
      </c>
      <c r="I20" s="29" t="s">
        <v>87</v>
      </c>
      <c r="J20" s="29">
        <v>262</v>
      </c>
      <c r="K20" s="29">
        <v>10</v>
      </c>
      <c r="L20" s="29">
        <v>49.4</v>
      </c>
      <c r="M20" s="29">
        <v>1</v>
      </c>
      <c r="N20" s="29">
        <v>14</v>
      </c>
      <c r="O20" s="29">
        <v>3</v>
      </c>
      <c r="P20" s="29">
        <v>17</v>
      </c>
      <c r="Q20" s="29">
        <v>5.27</v>
      </c>
      <c r="R20" s="29">
        <v>0</v>
      </c>
      <c r="S20" s="29">
        <v>13</v>
      </c>
      <c r="T20" s="29">
        <v>11</v>
      </c>
      <c r="U20" s="29">
        <v>0</v>
      </c>
      <c r="V20" s="29">
        <v>0</v>
      </c>
      <c r="W20" s="29">
        <v>24</v>
      </c>
      <c r="X20" s="29">
        <v>263</v>
      </c>
      <c r="Y20" s="29">
        <v>5</v>
      </c>
      <c r="Z20" s="29">
        <v>48.2</v>
      </c>
      <c r="AA20" s="29">
        <v>2</v>
      </c>
      <c r="AB20" s="29">
        <v>23</v>
      </c>
      <c r="AC20" s="29">
        <v>3</v>
      </c>
      <c r="AD20" s="29">
        <v>26</v>
      </c>
      <c r="AE20" s="29">
        <v>5.44</v>
      </c>
      <c r="AF20" s="29">
        <v>1</v>
      </c>
      <c r="AG20" s="29">
        <v>0</v>
      </c>
      <c r="AH20" s="29">
        <v>26</v>
      </c>
      <c r="AI20" s="29">
        <v>1</v>
      </c>
      <c r="AJ20" s="29">
        <v>5</v>
      </c>
      <c r="AK20" s="29">
        <v>33</v>
      </c>
      <c r="AL20" s="29" t="s">
        <v>77</v>
      </c>
      <c r="AM20" s="29" t="str">
        <f t="shared" si="0"/>
        <v>Netherlands</v>
      </c>
      <c r="AN20" s="29" t="s">
        <v>113</v>
      </c>
      <c r="AO20" s="29" t="s">
        <v>126</v>
      </c>
      <c r="AP20" s="29" t="s">
        <v>72</v>
      </c>
      <c r="AQ20" s="29" t="s">
        <v>103</v>
      </c>
      <c r="AR20" s="29" t="s">
        <v>63</v>
      </c>
      <c r="AS20" s="29" t="s">
        <v>64</v>
      </c>
      <c r="AT20" t="str">
        <f t="shared" si="1"/>
        <v>No</v>
      </c>
    </row>
    <row r="21" spans="1:46">
      <c r="A21" s="29">
        <v>20</v>
      </c>
      <c r="B21" s="37">
        <v>45220</v>
      </c>
      <c r="C21" s="38">
        <v>0.58333333333333304</v>
      </c>
      <c r="D21" s="29" t="s">
        <v>127</v>
      </c>
      <c r="E21" s="29" t="s">
        <v>128</v>
      </c>
      <c r="F21" s="29" t="s">
        <v>76</v>
      </c>
      <c r="G21" s="29" t="s">
        <v>46</v>
      </c>
      <c r="H21" s="29" t="s">
        <v>46</v>
      </c>
      <c r="I21" s="29" t="s">
        <v>48</v>
      </c>
      <c r="J21" s="29">
        <v>399</v>
      </c>
      <c r="K21" s="29">
        <v>7</v>
      </c>
      <c r="L21" s="29">
        <v>50</v>
      </c>
      <c r="M21" s="29">
        <v>2</v>
      </c>
      <c r="N21" s="29">
        <v>38</v>
      </c>
      <c r="O21" s="29">
        <v>13</v>
      </c>
      <c r="P21" s="29">
        <v>51</v>
      </c>
      <c r="Q21" s="29">
        <v>7.98</v>
      </c>
      <c r="R21" s="29">
        <v>9</v>
      </c>
      <c r="S21" s="29">
        <v>0</v>
      </c>
      <c r="T21" s="29">
        <v>5</v>
      </c>
      <c r="U21" s="29">
        <v>1</v>
      </c>
      <c r="V21" s="29">
        <v>0</v>
      </c>
      <c r="W21" s="29">
        <v>15</v>
      </c>
      <c r="X21" s="29">
        <v>170</v>
      </c>
      <c r="Y21" s="29">
        <v>10</v>
      </c>
      <c r="Z21" s="29">
        <v>22</v>
      </c>
      <c r="AA21" s="29">
        <v>1</v>
      </c>
      <c r="AB21" s="29">
        <v>18</v>
      </c>
      <c r="AC21" s="29">
        <v>9</v>
      </c>
      <c r="AD21" s="29">
        <v>27</v>
      </c>
      <c r="AE21" s="29">
        <v>7.72</v>
      </c>
      <c r="AF21" s="29">
        <v>3</v>
      </c>
      <c r="AG21" s="29">
        <v>2</v>
      </c>
      <c r="AH21" s="29">
        <v>9</v>
      </c>
      <c r="AI21" s="29">
        <v>1</v>
      </c>
      <c r="AJ21" s="29">
        <v>0</v>
      </c>
      <c r="AK21" s="29">
        <v>15</v>
      </c>
      <c r="AL21" s="29" t="s">
        <v>76</v>
      </c>
      <c r="AM21" s="29" t="str">
        <f t="shared" si="0"/>
        <v>England</v>
      </c>
      <c r="AN21" s="29" t="s">
        <v>129</v>
      </c>
      <c r="AO21" s="29" t="s">
        <v>130</v>
      </c>
      <c r="AP21" s="29" t="s">
        <v>52</v>
      </c>
      <c r="AQ21" s="29" t="s">
        <v>51</v>
      </c>
      <c r="AR21" s="29" t="s">
        <v>96</v>
      </c>
      <c r="AS21" s="29" t="s">
        <v>54</v>
      </c>
      <c r="AT21" t="str">
        <f t="shared" si="1"/>
        <v>No</v>
      </c>
    </row>
    <row r="22" spans="1:46">
      <c r="A22" s="29">
        <v>21</v>
      </c>
      <c r="B22" s="37">
        <v>45221</v>
      </c>
      <c r="C22" s="38">
        <v>0.58333333333333304</v>
      </c>
      <c r="D22" s="29" t="s">
        <v>65</v>
      </c>
      <c r="E22" s="29" t="s">
        <v>66</v>
      </c>
      <c r="F22" s="29" t="s">
        <v>47</v>
      </c>
      <c r="G22" s="29" t="s">
        <v>86</v>
      </c>
      <c r="H22" s="29" t="s">
        <v>86</v>
      </c>
      <c r="I22" s="29" t="s">
        <v>48</v>
      </c>
      <c r="J22" s="29">
        <v>273</v>
      </c>
      <c r="K22" s="29">
        <v>10</v>
      </c>
      <c r="L22" s="29">
        <v>50</v>
      </c>
      <c r="M22" s="29">
        <v>0</v>
      </c>
      <c r="N22" s="29">
        <v>19</v>
      </c>
      <c r="O22" s="29">
        <v>7</v>
      </c>
      <c r="P22" s="29">
        <v>26</v>
      </c>
      <c r="Q22" s="29">
        <v>5.46</v>
      </c>
      <c r="R22" s="29">
        <v>1</v>
      </c>
      <c r="S22" s="29">
        <v>0</v>
      </c>
      <c r="T22" s="29">
        <v>4</v>
      </c>
      <c r="U22" s="29">
        <v>0</v>
      </c>
      <c r="V22" s="29">
        <v>0</v>
      </c>
      <c r="W22" s="29">
        <v>5</v>
      </c>
      <c r="X22" s="29">
        <v>274</v>
      </c>
      <c r="Y22" s="29">
        <v>6</v>
      </c>
      <c r="Z22" s="29">
        <v>48</v>
      </c>
      <c r="AA22" s="29">
        <v>2</v>
      </c>
      <c r="AB22" s="29">
        <v>29</v>
      </c>
      <c r="AC22" s="29">
        <v>7</v>
      </c>
      <c r="AD22" s="29">
        <v>36</v>
      </c>
      <c r="AE22" s="29">
        <v>5.7</v>
      </c>
      <c r="AF22" s="29">
        <v>5</v>
      </c>
      <c r="AG22" s="29">
        <v>3</v>
      </c>
      <c r="AH22" s="29">
        <v>7</v>
      </c>
      <c r="AI22" s="29">
        <v>0</v>
      </c>
      <c r="AJ22" s="29">
        <v>0</v>
      </c>
      <c r="AK22" s="29">
        <v>15</v>
      </c>
      <c r="AL22" s="29" t="s">
        <v>86</v>
      </c>
      <c r="AM22" s="29" t="str">
        <f t="shared" si="0"/>
        <v>NewZealand</v>
      </c>
      <c r="AN22" s="29" t="s">
        <v>131</v>
      </c>
      <c r="AO22" s="29" t="s">
        <v>132</v>
      </c>
      <c r="AP22" s="29" t="s">
        <v>91</v>
      </c>
      <c r="AQ22" s="29" t="s">
        <v>82</v>
      </c>
      <c r="AR22" s="29" t="s">
        <v>53</v>
      </c>
      <c r="AS22" s="29" t="s">
        <v>73</v>
      </c>
      <c r="AT22" t="str">
        <f t="shared" si="1"/>
        <v>yes</v>
      </c>
    </row>
    <row r="23" spans="1:46">
      <c r="A23" s="29">
        <v>22</v>
      </c>
      <c r="B23" s="37">
        <v>45222</v>
      </c>
      <c r="C23" s="38">
        <v>0.58333333333333304</v>
      </c>
      <c r="D23" s="29" t="s">
        <v>83</v>
      </c>
      <c r="E23" s="29" t="s">
        <v>84</v>
      </c>
      <c r="F23" s="29" t="s">
        <v>57</v>
      </c>
      <c r="G23" s="29" t="s">
        <v>67</v>
      </c>
      <c r="H23" s="29" t="s">
        <v>57</v>
      </c>
      <c r="I23" s="29" t="s">
        <v>87</v>
      </c>
      <c r="J23" s="29">
        <v>282</v>
      </c>
      <c r="K23" s="29">
        <v>7</v>
      </c>
      <c r="L23" s="29">
        <v>50</v>
      </c>
      <c r="M23" s="29">
        <v>2</v>
      </c>
      <c r="N23" s="29">
        <v>17</v>
      </c>
      <c r="O23" s="29">
        <v>9</v>
      </c>
      <c r="P23" s="29">
        <v>26</v>
      </c>
      <c r="Q23" s="29">
        <v>5.64</v>
      </c>
      <c r="R23" s="29">
        <v>0</v>
      </c>
      <c r="S23" s="29">
        <v>0</v>
      </c>
      <c r="T23" s="29">
        <v>8</v>
      </c>
      <c r="U23" s="29">
        <v>1</v>
      </c>
      <c r="V23" s="29">
        <v>0</v>
      </c>
      <c r="W23" s="29">
        <v>9</v>
      </c>
      <c r="X23" s="29">
        <v>286</v>
      </c>
      <c r="Y23" s="29">
        <v>2</v>
      </c>
      <c r="Z23" s="29">
        <v>49</v>
      </c>
      <c r="AA23" s="29">
        <v>0</v>
      </c>
      <c r="AB23" s="29">
        <v>28</v>
      </c>
      <c r="AC23" s="29">
        <v>3</v>
      </c>
      <c r="AD23" s="29">
        <v>31</v>
      </c>
      <c r="AE23" s="29">
        <v>5.83</v>
      </c>
      <c r="AF23" s="29">
        <v>4</v>
      </c>
      <c r="AG23" s="29">
        <v>0</v>
      </c>
      <c r="AH23" s="29">
        <v>12</v>
      </c>
      <c r="AI23" s="29">
        <v>1</v>
      </c>
      <c r="AJ23" s="29">
        <v>0</v>
      </c>
      <c r="AK23" s="29">
        <v>17</v>
      </c>
      <c r="AL23" s="29" t="s">
        <v>67</v>
      </c>
      <c r="AM23" s="29" t="str">
        <f t="shared" si="0"/>
        <v>Pakistan</v>
      </c>
      <c r="AN23" s="29" t="s">
        <v>101</v>
      </c>
      <c r="AO23" s="29" t="s">
        <v>133</v>
      </c>
      <c r="AP23" s="29" t="s">
        <v>96</v>
      </c>
      <c r="AQ23" s="29" t="s">
        <v>63</v>
      </c>
      <c r="AR23" s="29" t="s">
        <v>90</v>
      </c>
      <c r="AS23" s="29" t="s">
        <v>92</v>
      </c>
      <c r="AT23" t="str">
        <f t="shared" si="1"/>
        <v>No</v>
      </c>
    </row>
    <row r="24" spans="1:46">
      <c r="A24" s="29">
        <v>23</v>
      </c>
      <c r="B24" s="37">
        <v>45223</v>
      </c>
      <c r="C24" s="38">
        <v>0.58333333333333304</v>
      </c>
      <c r="D24" s="29" t="s">
        <v>127</v>
      </c>
      <c r="E24" s="29" t="s">
        <v>128</v>
      </c>
      <c r="F24" s="29" t="s">
        <v>76</v>
      </c>
      <c r="G24" s="29" t="s">
        <v>68</v>
      </c>
      <c r="H24" s="29" t="s">
        <v>76</v>
      </c>
      <c r="I24" s="29" t="s">
        <v>87</v>
      </c>
      <c r="J24" s="29">
        <v>382</v>
      </c>
      <c r="K24" s="29">
        <v>5</v>
      </c>
      <c r="L24" s="29">
        <v>50</v>
      </c>
      <c r="M24" s="29">
        <v>2</v>
      </c>
      <c r="N24" s="29">
        <v>26</v>
      </c>
      <c r="O24" s="29">
        <v>19</v>
      </c>
      <c r="P24" s="29">
        <v>45</v>
      </c>
      <c r="Q24" s="29">
        <v>7.64</v>
      </c>
      <c r="R24" s="29">
        <v>2</v>
      </c>
      <c r="S24" s="29">
        <v>0</v>
      </c>
      <c r="T24" s="29">
        <v>13</v>
      </c>
      <c r="U24" s="29">
        <v>2</v>
      </c>
      <c r="V24" s="29">
        <v>0</v>
      </c>
      <c r="W24" s="29">
        <v>17</v>
      </c>
      <c r="X24" s="29">
        <v>233</v>
      </c>
      <c r="Y24" s="29">
        <v>10</v>
      </c>
      <c r="Z24" s="29">
        <v>46.4</v>
      </c>
      <c r="AA24" s="29">
        <v>0</v>
      </c>
      <c r="AB24" s="29">
        <v>25</v>
      </c>
      <c r="AC24" s="29">
        <v>5</v>
      </c>
      <c r="AD24" s="29">
        <v>30</v>
      </c>
      <c r="AE24" s="29">
        <v>4.99</v>
      </c>
      <c r="AF24" s="29">
        <v>3</v>
      </c>
      <c r="AG24" s="29">
        <v>0</v>
      </c>
      <c r="AH24" s="29">
        <v>7</v>
      </c>
      <c r="AI24" s="29">
        <v>0</v>
      </c>
      <c r="AJ24" s="29">
        <v>0</v>
      </c>
      <c r="AK24" s="29">
        <v>10</v>
      </c>
      <c r="AL24" s="29" t="s">
        <v>76</v>
      </c>
      <c r="AM24" s="29" t="str">
        <f t="shared" si="0"/>
        <v>Bangladesh</v>
      </c>
      <c r="AN24" s="29" t="s">
        <v>117</v>
      </c>
      <c r="AO24" s="29" t="s">
        <v>107</v>
      </c>
      <c r="AP24" s="29" t="s">
        <v>100</v>
      </c>
      <c r="AQ24" s="29" t="s">
        <v>71</v>
      </c>
      <c r="AR24" s="29" t="s">
        <v>53</v>
      </c>
      <c r="AS24" s="29" t="s">
        <v>64</v>
      </c>
      <c r="AT24" t="str">
        <f t="shared" si="1"/>
        <v>yes</v>
      </c>
    </row>
    <row r="25" spans="1:46">
      <c r="A25" s="29">
        <v>24</v>
      </c>
      <c r="B25" s="37">
        <v>45224</v>
      </c>
      <c r="C25" s="38">
        <v>0.58333333333333304</v>
      </c>
      <c r="D25" s="29" t="s">
        <v>74</v>
      </c>
      <c r="E25" s="29" t="s">
        <v>75</v>
      </c>
      <c r="F25" s="29" t="s">
        <v>85</v>
      </c>
      <c r="G25" s="29" t="s">
        <v>58</v>
      </c>
      <c r="H25" s="29" t="s">
        <v>85</v>
      </c>
      <c r="I25" s="29" t="s">
        <v>87</v>
      </c>
      <c r="J25" s="29">
        <v>399</v>
      </c>
      <c r="K25" s="29">
        <v>8</v>
      </c>
      <c r="L25" s="29">
        <v>50</v>
      </c>
      <c r="M25" s="29">
        <v>0</v>
      </c>
      <c r="N25" s="29">
        <v>42</v>
      </c>
      <c r="O25" s="29">
        <v>15</v>
      </c>
      <c r="P25" s="29">
        <v>57</v>
      </c>
      <c r="Q25" s="29">
        <v>7.98</v>
      </c>
      <c r="R25" s="29">
        <v>0</v>
      </c>
      <c r="S25" s="29">
        <v>0</v>
      </c>
      <c r="T25" s="29">
        <v>7</v>
      </c>
      <c r="U25" s="29">
        <v>0</v>
      </c>
      <c r="V25" s="29">
        <v>0</v>
      </c>
      <c r="W25" s="29">
        <v>7</v>
      </c>
      <c r="X25" s="29">
        <v>90</v>
      </c>
      <c r="Y25" s="29">
        <v>10</v>
      </c>
      <c r="Z25" s="29">
        <v>21</v>
      </c>
      <c r="AA25" s="29">
        <v>0</v>
      </c>
      <c r="AB25" s="29">
        <v>13</v>
      </c>
      <c r="AC25" s="29">
        <v>0</v>
      </c>
      <c r="AD25" s="29">
        <v>13</v>
      </c>
      <c r="AE25" s="29">
        <v>4.28</v>
      </c>
      <c r="AF25" s="29">
        <v>0</v>
      </c>
      <c r="AG25" s="29">
        <v>0</v>
      </c>
      <c r="AH25" s="29">
        <v>11</v>
      </c>
      <c r="AI25" s="29">
        <v>1</v>
      </c>
      <c r="AJ25" s="29">
        <v>0</v>
      </c>
      <c r="AK25" s="29">
        <v>12</v>
      </c>
      <c r="AL25" s="29" t="s">
        <v>85</v>
      </c>
      <c r="AM25" s="29" t="str">
        <f t="shared" si="0"/>
        <v>Netherlands</v>
      </c>
      <c r="AN25" s="29" t="s">
        <v>134</v>
      </c>
      <c r="AO25" s="29" t="s">
        <v>135</v>
      </c>
      <c r="AP25" s="29" t="s">
        <v>81</v>
      </c>
      <c r="AQ25" s="29" t="s">
        <v>82</v>
      </c>
      <c r="AR25" s="29" t="s">
        <v>103</v>
      </c>
      <c r="AS25" s="29" t="s">
        <v>73</v>
      </c>
      <c r="AT25" t="str">
        <f t="shared" si="1"/>
        <v>yes</v>
      </c>
    </row>
    <row r="26" spans="1:46">
      <c r="A26" s="29">
        <v>25</v>
      </c>
      <c r="B26" s="37">
        <v>45225</v>
      </c>
      <c r="C26" s="38">
        <v>0.58333333333333304</v>
      </c>
      <c r="D26" s="29" t="s">
        <v>122</v>
      </c>
      <c r="E26" s="29" t="s">
        <v>123</v>
      </c>
      <c r="F26" s="29" t="s">
        <v>46</v>
      </c>
      <c r="G26" s="29" t="s">
        <v>77</v>
      </c>
      <c r="H26" s="29" t="s">
        <v>46</v>
      </c>
      <c r="I26" s="29" t="s">
        <v>87</v>
      </c>
      <c r="J26" s="29">
        <v>156</v>
      </c>
      <c r="K26" s="29">
        <v>10</v>
      </c>
      <c r="L26" s="29">
        <v>33.200000000000003</v>
      </c>
      <c r="M26" s="29">
        <v>0</v>
      </c>
      <c r="N26" s="29">
        <v>19</v>
      </c>
      <c r="O26" s="29">
        <v>1</v>
      </c>
      <c r="P26" s="29">
        <v>20</v>
      </c>
      <c r="Q26" s="29">
        <v>4.68</v>
      </c>
      <c r="R26" s="29">
        <v>0</v>
      </c>
      <c r="S26" s="29">
        <v>0</v>
      </c>
      <c r="T26" s="29">
        <v>3</v>
      </c>
      <c r="U26" s="29">
        <v>0</v>
      </c>
      <c r="V26" s="29">
        <v>0</v>
      </c>
      <c r="W26" s="29">
        <v>3</v>
      </c>
      <c r="X26" s="29">
        <v>160</v>
      </c>
      <c r="Y26" s="29">
        <v>2</v>
      </c>
      <c r="Z26" s="29">
        <v>25.4</v>
      </c>
      <c r="AA26" s="29">
        <v>2</v>
      </c>
      <c r="AB26" s="29">
        <v>17</v>
      </c>
      <c r="AC26" s="29">
        <v>3</v>
      </c>
      <c r="AD26" s="29">
        <v>20</v>
      </c>
      <c r="AE26" s="29">
        <v>6.23</v>
      </c>
      <c r="AF26" s="29">
        <v>3</v>
      </c>
      <c r="AG26" s="29">
        <v>0</v>
      </c>
      <c r="AH26" s="29">
        <v>4</v>
      </c>
      <c r="AI26" s="29">
        <v>0</v>
      </c>
      <c r="AJ26" s="29">
        <v>0</v>
      </c>
      <c r="AK26" s="29">
        <v>7</v>
      </c>
      <c r="AL26" s="29" t="s">
        <v>77</v>
      </c>
      <c r="AM26" s="29" t="str">
        <f t="shared" si="0"/>
        <v>England</v>
      </c>
      <c r="AN26" s="29" t="s">
        <v>101</v>
      </c>
      <c r="AO26" s="29" t="s">
        <v>136</v>
      </c>
      <c r="AP26" s="29" t="s">
        <v>62</v>
      </c>
      <c r="AQ26" s="29" t="s">
        <v>61</v>
      </c>
      <c r="AR26" s="29" t="s">
        <v>72</v>
      </c>
      <c r="AS26" s="29" t="s">
        <v>54</v>
      </c>
      <c r="AT26" t="str">
        <f t="shared" si="1"/>
        <v>No</v>
      </c>
    </row>
    <row r="27" spans="1:46">
      <c r="A27" s="29">
        <v>26</v>
      </c>
      <c r="B27" s="37">
        <v>45226</v>
      </c>
      <c r="C27" s="38">
        <v>0.58333333333333304</v>
      </c>
      <c r="D27" s="29" t="s">
        <v>83</v>
      </c>
      <c r="E27" s="29" t="s">
        <v>84</v>
      </c>
      <c r="F27" s="29" t="s">
        <v>57</v>
      </c>
      <c r="G27" s="29" t="s">
        <v>76</v>
      </c>
      <c r="H27" s="29" t="s">
        <v>57</v>
      </c>
      <c r="I27" s="29" t="s">
        <v>87</v>
      </c>
      <c r="J27" s="29">
        <v>270</v>
      </c>
      <c r="K27" s="29">
        <v>10</v>
      </c>
      <c r="L27" s="29">
        <v>46.4</v>
      </c>
      <c r="M27" s="29">
        <v>1</v>
      </c>
      <c r="N27" s="29">
        <v>23</v>
      </c>
      <c r="O27" s="29">
        <v>8</v>
      </c>
      <c r="P27" s="29">
        <v>31</v>
      </c>
      <c r="Q27" s="29">
        <v>5.78</v>
      </c>
      <c r="R27" s="29">
        <v>5</v>
      </c>
      <c r="S27" s="29">
        <v>1</v>
      </c>
      <c r="T27" s="29">
        <v>15</v>
      </c>
      <c r="U27" s="29">
        <v>0</v>
      </c>
      <c r="V27" s="29">
        <v>0</v>
      </c>
      <c r="W27" s="29">
        <v>21</v>
      </c>
      <c r="X27" s="29">
        <v>271</v>
      </c>
      <c r="Y27" s="29">
        <v>9</v>
      </c>
      <c r="Z27" s="29">
        <v>47.2</v>
      </c>
      <c r="AA27" s="29">
        <v>1</v>
      </c>
      <c r="AB27" s="29">
        <v>21</v>
      </c>
      <c r="AC27" s="29">
        <v>8</v>
      </c>
      <c r="AD27" s="29">
        <v>29</v>
      </c>
      <c r="AE27" s="29">
        <v>5.22</v>
      </c>
      <c r="AF27" s="29">
        <v>0</v>
      </c>
      <c r="AG27" s="29">
        <v>4</v>
      </c>
      <c r="AH27" s="29">
        <v>11</v>
      </c>
      <c r="AI27" s="29">
        <v>4</v>
      </c>
      <c r="AJ27" s="29">
        <v>0</v>
      </c>
      <c r="AK27" s="29">
        <v>19</v>
      </c>
      <c r="AL27" s="29" t="s">
        <v>76</v>
      </c>
      <c r="AM27" s="29" t="str">
        <f t="shared" si="0"/>
        <v>Pakistan</v>
      </c>
      <c r="AN27" s="29" t="s">
        <v>137</v>
      </c>
      <c r="AO27" s="29" t="s">
        <v>138</v>
      </c>
      <c r="AP27" s="29" t="s">
        <v>96</v>
      </c>
      <c r="AQ27" s="29" t="s">
        <v>100</v>
      </c>
      <c r="AR27" s="29" t="s">
        <v>80</v>
      </c>
      <c r="AS27" s="29" t="s">
        <v>92</v>
      </c>
      <c r="AT27" t="str">
        <f t="shared" si="1"/>
        <v>No</v>
      </c>
    </row>
    <row r="28" spans="1:46">
      <c r="A28" s="29">
        <v>27</v>
      </c>
      <c r="B28" s="37">
        <v>45227</v>
      </c>
      <c r="C28" s="38">
        <v>0.4375</v>
      </c>
      <c r="D28" s="29" t="s">
        <v>65</v>
      </c>
      <c r="E28" s="29" t="s">
        <v>66</v>
      </c>
      <c r="F28" s="29" t="s">
        <v>85</v>
      </c>
      <c r="G28" s="29" t="s">
        <v>47</v>
      </c>
      <c r="H28" s="29" t="s">
        <v>47</v>
      </c>
      <c r="I28" s="29" t="s">
        <v>48</v>
      </c>
      <c r="J28" s="29">
        <v>388</v>
      </c>
      <c r="K28" s="29">
        <v>10</v>
      </c>
      <c r="L28" s="29">
        <v>49.2</v>
      </c>
      <c r="M28" s="29">
        <v>0</v>
      </c>
      <c r="N28" s="29">
        <v>32</v>
      </c>
      <c r="O28" s="29">
        <v>20</v>
      </c>
      <c r="P28" s="29">
        <v>52</v>
      </c>
      <c r="Q28" s="29">
        <v>7.86</v>
      </c>
      <c r="R28" s="29">
        <v>4</v>
      </c>
      <c r="S28" s="29">
        <v>0</v>
      </c>
      <c r="T28" s="29">
        <v>22</v>
      </c>
      <c r="U28" s="29">
        <v>0</v>
      </c>
      <c r="V28" s="29">
        <v>0</v>
      </c>
      <c r="W28" s="29">
        <v>26</v>
      </c>
      <c r="X28" s="29">
        <v>383</v>
      </c>
      <c r="Y28" s="29">
        <v>9</v>
      </c>
      <c r="Z28" s="29">
        <v>50</v>
      </c>
      <c r="AA28" s="29">
        <v>0</v>
      </c>
      <c r="AB28" s="29">
        <v>33</v>
      </c>
      <c r="AC28" s="29">
        <v>12</v>
      </c>
      <c r="AD28" s="29">
        <v>45</v>
      </c>
      <c r="AE28" s="29">
        <v>7.66</v>
      </c>
      <c r="AF28" s="29">
        <v>0</v>
      </c>
      <c r="AG28" s="29">
        <v>1</v>
      </c>
      <c r="AH28" s="29">
        <v>6</v>
      </c>
      <c r="AI28" s="29">
        <v>2</v>
      </c>
      <c r="AJ28" s="29">
        <v>0</v>
      </c>
      <c r="AK28" s="29">
        <v>9</v>
      </c>
      <c r="AL28" s="29" t="s">
        <v>85</v>
      </c>
      <c r="AM28" s="29" t="str">
        <f t="shared" si="0"/>
        <v>NewZealand</v>
      </c>
      <c r="AN28" s="29" t="s">
        <v>139</v>
      </c>
      <c r="AO28" s="29" t="s">
        <v>140</v>
      </c>
      <c r="AP28" s="29" t="s">
        <v>81</v>
      </c>
      <c r="AQ28" s="29" t="s">
        <v>103</v>
      </c>
      <c r="AR28" s="29" t="s">
        <v>52</v>
      </c>
      <c r="AS28" s="29" t="s">
        <v>73</v>
      </c>
      <c r="AT28" t="str">
        <f t="shared" si="1"/>
        <v>No</v>
      </c>
    </row>
    <row r="29" spans="1:46">
      <c r="A29" s="29">
        <v>28</v>
      </c>
      <c r="B29" s="37">
        <v>45227</v>
      </c>
      <c r="C29" s="38">
        <v>0.58333333333333304</v>
      </c>
      <c r="D29" s="29" t="s">
        <v>141</v>
      </c>
      <c r="E29" s="29" t="s">
        <v>56</v>
      </c>
      <c r="F29" s="29" t="s">
        <v>58</v>
      </c>
      <c r="G29" s="29" t="s">
        <v>68</v>
      </c>
      <c r="H29" s="29" t="s">
        <v>58</v>
      </c>
      <c r="I29" s="29" t="s">
        <v>87</v>
      </c>
      <c r="J29" s="29">
        <v>142</v>
      </c>
      <c r="K29" s="29">
        <v>10</v>
      </c>
      <c r="L29" s="29">
        <v>42.2</v>
      </c>
      <c r="M29" s="29">
        <v>5</v>
      </c>
      <c r="N29" s="29">
        <v>22</v>
      </c>
      <c r="O29" s="29">
        <v>2</v>
      </c>
      <c r="P29" s="29">
        <v>24</v>
      </c>
      <c r="Q29" s="29">
        <v>3.35</v>
      </c>
      <c r="R29" s="29">
        <v>0</v>
      </c>
      <c r="S29" s="29">
        <v>0</v>
      </c>
      <c r="T29" s="29">
        <v>6</v>
      </c>
      <c r="U29" s="29">
        <v>0</v>
      </c>
      <c r="V29" s="29">
        <v>0</v>
      </c>
      <c r="W29" s="29">
        <v>6</v>
      </c>
      <c r="X29" s="29">
        <v>229</v>
      </c>
      <c r="Y29" s="29">
        <v>10</v>
      </c>
      <c r="Z29" s="29">
        <v>50</v>
      </c>
      <c r="AA29" s="29">
        <v>3</v>
      </c>
      <c r="AB29" s="29">
        <v>16</v>
      </c>
      <c r="AC29" s="29">
        <v>2</v>
      </c>
      <c r="AD29" s="29">
        <v>18</v>
      </c>
      <c r="AE29" s="29">
        <v>4.58</v>
      </c>
      <c r="AF29" s="29">
        <v>1</v>
      </c>
      <c r="AG29" s="29">
        <v>4</v>
      </c>
      <c r="AH29" s="29">
        <v>7</v>
      </c>
      <c r="AI29" s="29">
        <v>0</v>
      </c>
      <c r="AJ29" s="29">
        <v>0</v>
      </c>
      <c r="AK29" s="29">
        <v>12</v>
      </c>
      <c r="AL29" s="29" t="s">
        <v>58</v>
      </c>
      <c r="AM29" s="29" t="str">
        <f t="shared" si="0"/>
        <v>Bangladesh</v>
      </c>
      <c r="AN29" s="29" t="s">
        <v>142</v>
      </c>
      <c r="AO29" s="29" t="s">
        <v>143</v>
      </c>
      <c r="AP29" s="29" t="s">
        <v>71</v>
      </c>
      <c r="AQ29" s="29" t="s">
        <v>53</v>
      </c>
      <c r="AR29" s="29" t="s">
        <v>51</v>
      </c>
      <c r="AS29" s="29" t="s">
        <v>64</v>
      </c>
      <c r="AT29" t="str">
        <f t="shared" si="1"/>
        <v>yes</v>
      </c>
    </row>
    <row r="30" spans="1:46">
      <c r="A30" s="29">
        <v>29</v>
      </c>
      <c r="B30" s="37">
        <v>45228</v>
      </c>
      <c r="C30" s="38">
        <v>0.58333333333333304</v>
      </c>
      <c r="D30" s="29" t="s">
        <v>104</v>
      </c>
      <c r="E30" s="29" t="s">
        <v>105</v>
      </c>
      <c r="F30" s="29" t="s">
        <v>86</v>
      </c>
      <c r="G30" s="29" t="s">
        <v>46</v>
      </c>
      <c r="H30" s="29" t="s">
        <v>46</v>
      </c>
      <c r="I30" s="29" t="s">
        <v>48</v>
      </c>
      <c r="J30" s="29">
        <v>229</v>
      </c>
      <c r="K30" s="29">
        <v>9</v>
      </c>
      <c r="L30" s="29">
        <v>50</v>
      </c>
      <c r="M30" s="29">
        <v>4</v>
      </c>
      <c r="N30" s="29">
        <v>20</v>
      </c>
      <c r="O30" s="29">
        <v>4</v>
      </c>
      <c r="P30" s="29">
        <v>24</v>
      </c>
      <c r="Q30" s="29">
        <v>4.58</v>
      </c>
      <c r="R30" s="29">
        <v>2</v>
      </c>
      <c r="S30" s="29">
        <v>0</v>
      </c>
      <c r="T30" s="29">
        <v>6</v>
      </c>
      <c r="U30" s="29">
        <v>0</v>
      </c>
      <c r="V30" s="29">
        <v>0</v>
      </c>
      <c r="W30" s="29">
        <v>8</v>
      </c>
      <c r="X30" s="29">
        <v>129</v>
      </c>
      <c r="Y30" s="29">
        <v>10</v>
      </c>
      <c r="Z30" s="29">
        <v>34.5</v>
      </c>
      <c r="AA30" s="29">
        <v>5</v>
      </c>
      <c r="AB30" s="29">
        <v>10</v>
      </c>
      <c r="AC30" s="29">
        <v>3</v>
      </c>
      <c r="AD30" s="29">
        <v>13</v>
      </c>
      <c r="AE30" s="29">
        <v>3.7</v>
      </c>
      <c r="AF30" s="29">
        <v>0</v>
      </c>
      <c r="AG30" s="29">
        <v>4</v>
      </c>
      <c r="AH30" s="29">
        <v>3</v>
      </c>
      <c r="AI30" s="29">
        <v>0</v>
      </c>
      <c r="AJ30" s="29">
        <v>0</v>
      </c>
      <c r="AK30" s="29">
        <v>7</v>
      </c>
      <c r="AL30" s="29" t="s">
        <v>86</v>
      </c>
      <c r="AM30" s="29" t="str">
        <f t="shared" si="0"/>
        <v>England</v>
      </c>
      <c r="AN30" s="29" t="s">
        <v>144</v>
      </c>
      <c r="AO30" s="29" t="s">
        <v>102</v>
      </c>
      <c r="AP30" s="29" t="s">
        <v>63</v>
      </c>
      <c r="AQ30" s="29" t="s">
        <v>61</v>
      </c>
      <c r="AR30" s="29" t="s">
        <v>72</v>
      </c>
      <c r="AS30" s="29" t="s">
        <v>92</v>
      </c>
      <c r="AT30" t="str">
        <f t="shared" si="1"/>
        <v>No</v>
      </c>
    </row>
    <row r="31" spans="1:46">
      <c r="A31" s="29">
        <v>30</v>
      </c>
      <c r="B31" s="37">
        <v>45229</v>
      </c>
      <c r="C31" s="38">
        <v>0.58333333333333304</v>
      </c>
      <c r="D31" s="29" t="s">
        <v>119</v>
      </c>
      <c r="E31" s="29" t="s">
        <v>120</v>
      </c>
      <c r="F31" s="29" t="s">
        <v>77</v>
      </c>
      <c r="G31" s="29" t="s">
        <v>67</v>
      </c>
      <c r="H31" s="29" t="s">
        <v>67</v>
      </c>
      <c r="I31" s="29" t="s">
        <v>48</v>
      </c>
      <c r="J31" s="29">
        <v>241</v>
      </c>
      <c r="K31" s="29">
        <v>10</v>
      </c>
      <c r="L31" s="29">
        <v>49.3</v>
      </c>
      <c r="M31" s="29">
        <v>0</v>
      </c>
      <c r="N31" s="29">
        <v>19</v>
      </c>
      <c r="O31" s="29">
        <v>2</v>
      </c>
      <c r="P31" s="29">
        <v>21</v>
      </c>
      <c r="Q31" s="29">
        <v>4.8600000000000003</v>
      </c>
      <c r="R31" s="29">
        <v>1</v>
      </c>
      <c r="S31" s="29">
        <v>0</v>
      </c>
      <c r="T31" s="29">
        <v>9</v>
      </c>
      <c r="U31" s="29">
        <v>0</v>
      </c>
      <c r="V31" s="29">
        <v>0</v>
      </c>
      <c r="W31" s="29">
        <v>10</v>
      </c>
      <c r="X31" s="29">
        <v>242</v>
      </c>
      <c r="Y31" s="29">
        <v>3</v>
      </c>
      <c r="Z31" s="29">
        <v>45.2</v>
      </c>
      <c r="AA31" s="29">
        <v>1</v>
      </c>
      <c r="AB31" s="29">
        <v>19</v>
      </c>
      <c r="AC31" s="29">
        <v>5</v>
      </c>
      <c r="AD31" s="29">
        <v>24</v>
      </c>
      <c r="AE31" s="29">
        <v>5.33</v>
      </c>
      <c r="AF31" s="29">
        <v>2</v>
      </c>
      <c r="AG31" s="29">
        <v>0</v>
      </c>
      <c r="AH31" s="29">
        <v>9</v>
      </c>
      <c r="AI31" s="29">
        <v>0</v>
      </c>
      <c r="AJ31" s="29">
        <v>0</v>
      </c>
      <c r="AK31" s="29">
        <v>11</v>
      </c>
      <c r="AL31" s="29" t="s">
        <v>67</v>
      </c>
      <c r="AM31" s="29" t="str">
        <f t="shared" si="0"/>
        <v>Sri Lanka</v>
      </c>
      <c r="AN31" s="29" t="s">
        <v>109</v>
      </c>
      <c r="AO31" s="29" t="s">
        <v>145</v>
      </c>
      <c r="AP31" s="29" t="s">
        <v>80</v>
      </c>
      <c r="AQ31" s="29" t="s">
        <v>90</v>
      </c>
      <c r="AR31" s="29" t="s">
        <v>100</v>
      </c>
      <c r="AS31" s="29" t="s">
        <v>54</v>
      </c>
      <c r="AT31" t="str">
        <f t="shared" si="1"/>
        <v>yes</v>
      </c>
    </row>
    <row r="32" spans="1:46">
      <c r="A32" s="29">
        <v>31</v>
      </c>
      <c r="B32" s="29" t="s">
        <v>146</v>
      </c>
      <c r="C32" s="38">
        <v>0.58333333333333304</v>
      </c>
      <c r="D32" s="29" t="s">
        <v>141</v>
      </c>
      <c r="E32" s="29" t="s">
        <v>56</v>
      </c>
      <c r="F32" s="29" t="s">
        <v>68</v>
      </c>
      <c r="G32" s="29" t="s">
        <v>57</v>
      </c>
      <c r="H32" s="29" t="s">
        <v>68</v>
      </c>
      <c r="I32" s="29" t="s">
        <v>87</v>
      </c>
      <c r="J32" s="29">
        <v>205</v>
      </c>
      <c r="K32" s="29">
        <v>3</v>
      </c>
      <c r="L32" s="29">
        <v>32.299999999999997</v>
      </c>
      <c r="M32" s="29">
        <v>2</v>
      </c>
      <c r="N32" s="29">
        <v>19</v>
      </c>
      <c r="O32" s="29">
        <v>3</v>
      </c>
      <c r="P32" s="29">
        <v>22</v>
      </c>
      <c r="Q32" s="29">
        <v>6.3</v>
      </c>
      <c r="R32" s="29">
        <v>2</v>
      </c>
      <c r="S32" s="29">
        <v>0</v>
      </c>
      <c r="T32" s="29">
        <v>2</v>
      </c>
      <c r="U32" s="29">
        <v>0</v>
      </c>
      <c r="V32" s="29">
        <v>0</v>
      </c>
      <c r="W32" s="29">
        <v>4</v>
      </c>
      <c r="X32" s="29">
        <v>204</v>
      </c>
      <c r="Y32" s="29">
        <v>10</v>
      </c>
      <c r="Z32" s="29">
        <v>45.1</v>
      </c>
      <c r="AA32" s="29">
        <v>2</v>
      </c>
      <c r="AB32" s="29">
        <v>19</v>
      </c>
      <c r="AC32" s="29">
        <v>9</v>
      </c>
      <c r="AD32" s="29">
        <v>28</v>
      </c>
      <c r="AE32" s="29">
        <v>4.51</v>
      </c>
      <c r="AF32" s="29">
        <v>4</v>
      </c>
      <c r="AG32" s="29">
        <v>0</v>
      </c>
      <c r="AH32" s="29">
        <v>5</v>
      </c>
      <c r="AI32" s="29">
        <v>0</v>
      </c>
      <c r="AJ32" s="29">
        <v>0</v>
      </c>
      <c r="AK32" s="29">
        <v>9</v>
      </c>
      <c r="AL32" s="29" t="s">
        <v>57</v>
      </c>
      <c r="AM32" s="29" t="str">
        <f t="shared" si="0"/>
        <v>Bangladesh</v>
      </c>
      <c r="AN32" s="29" t="s">
        <v>109</v>
      </c>
      <c r="AO32" s="29" t="s">
        <v>147</v>
      </c>
      <c r="AP32" s="29" t="s">
        <v>91</v>
      </c>
      <c r="AQ32" s="29" t="s">
        <v>52</v>
      </c>
      <c r="AR32" s="29" t="s">
        <v>61</v>
      </c>
      <c r="AS32" s="29" t="s">
        <v>73</v>
      </c>
      <c r="AT32" t="str">
        <f t="shared" si="1"/>
        <v>No</v>
      </c>
    </row>
    <row r="33" spans="1:46">
      <c r="A33" s="29">
        <v>32</v>
      </c>
      <c r="B33" s="37">
        <v>45231</v>
      </c>
      <c r="C33" s="38">
        <v>0.58333333333333304</v>
      </c>
      <c r="D33" s="29" t="s">
        <v>119</v>
      </c>
      <c r="E33" s="29" t="s">
        <v>120</v>
      </c>
      <c r="F33" s="29" t="s">
        <v>76</v>
      </c>
      <c r="G33" s="29" t="s">
        <v>47</v>
      </c>
      <c r="H33" s="29" t="s">
        <v>47</v>
      </c>
      <c r="I33" s="29" t="s">
        <v>48</v>
      </c>
      <c r="J33" s="29">
        <v>357</v>
      </c>
      <c r="K33" s="29">
        <v>4</v>
      </c>
      <c r="L33" s="29">
        <v>50</v>
      </c>
      <c r="M33" s="29">
        <v>4</v>
      </c>
      <c r="N33" s="29">
        <v>26</v>
      </c>
      <c r="O33" s="29">
        <v>15</v>
      </c>
      <c r="P33" s="29">
        <v>41</v>
      </c>
      <c r="Q33" s="29">
        <v>7.14</v>
      </c>
      <c r="R33" s="29">
        <v>1</v>
      </c>
      <c r="S33" s="29">
        <v>4</v>
      </c>
      <c r="T33" s="29">
        <v>6</v>
      </c>
      <c r="U33" s="29">
        <v>1</v>
      </c>
      <c r="V33" s="29">
        <v>0</v>
      </c>
      <c r="W33" s="29">
        <v>12</v>
      </c>
      <c r="X33" s="29">
        <v>167</v>
      </c>
      <c r="Y33" s="29">
        <v>10</v>
      </c>
      <c r="Z33" s="29">
        <v>35.299999999999997</v>
      </c>
      <c r="AA33" s="29">
        <v>1</v>
      </c>
      <c r="AB33" s="29">
        <v>17</v>
      </c>
      <c r="AC33" s="29">
        <v>4</v>
      </c>
      <c r="AD33" s="29">
        <v>21</v>
      </c>
      <c r="AE33" s="29">
        <v>4.7</v>
      </c>
      <c r="AF33" s="29">
        <v>4</v>
      </c>
      <c r="AG33" s="29">
        <v>0</v>
      </c>
      <c r="AH33" s="29">
        <v>8</v>
      </c>
      <c r="AI33" s="29">
        <v>0</v>
      </c>
      <c r="AJ33" s="29">
        <v>0</v>
      </c>
      <c r="AK33" s="29">
        <v>12</v>
      </c>
      <c r="AL33" s="29" t="s">
        <v>76</v>
      </c>
      <c r="AM33" s="29" t="str">
        <f t="shared" si="0"/>
        <v>NewZealand</v>
      </c>
      <c r="AN33" s="29" t="s">
        <v>148</v>
      </c>
      <c r="AO33" s="29" t="s">
        <v>149</v>
      </c>
      <c r="AP33" s="29" t="s">
        <v>51</v>
      </c>
      <c r="AQ33" s="29" t="s">
        <v>72</v>
      </c>
      <c r="AR33" s="29" t="s">
        <v>81</v>
      </c>
      <c r="AS33" s="29" t="s">
        <v>92</v>
      </c>
      <c r="AT33" t="str">
        <f t="shared" si="1"/>
        <v>No</v>
      </c>
    </row>
    <row r="34" spans="1:46">
      <c r="A34" s="29">
        <v>33</v>
      </c>
      <c r="B34" s="37">
        <v>45232</v>
      </c>
      <c r="C34" s="38">
        <v>0.58333333333333304</v>
      </c>
      <c r="D34" s="29" t="s">
        <v>127</v>
      </c>
      <c r="E34" s="29" t="s">
        <v>128</v>
      </c>
      <c r="F34" s="29" t="s">
        <v>86</v>
      </c>
      <c r="G34" s="29" t="s">
        <v>77</v>
      </c>
      <c r="H34" s="29" t="s">
        <v>77</v>
      </c>
      <c r="I34" s="29" t="s">
        <v>48</v>
      </c>
      <c r="J34" s="29">
        <v>357</v>
      </c>
      <c r="K34" s="29">
        <v>8</v>
      </c>
      <c r="L34" s="29">
        <v>50</v>
      </c>
      <c r="M34" s="29">
        <v>4</v>
      </c>
      <c r="N34" s="29">
        <v>31</v>
      </c>
      <c r="O34" s="29">
        <v>9</v>
      </c>
      <c r="P34" s="29">
        <v>40</v>
      </c>
      <c r="Q34" s="29">
        <v>7.14</v>
      </c>
      <c r="R34" s="29">
        <v>1</v>
      </c>
      <c r="S34" s="29">
        <v>5</v>
      </c>
      <c r="T34" s="29">
        <v>4</v>
      </c>
      <c r="U34" s="29">
        <v>0</v>
      </c>
      <c r="V34" s="29">
        <v>0</v>
      </c>
      <c r="W34" s="29">
        <v>10</v>
      </c>
      <c r="X34" s="29">
        <v>55</v>
      </c>
      <c r="Y34" s="29">
        <v>10</v>
      </c>
      <c r="Z34" s="29">
        <v>19.399999999999999</v>
      </c>
      <c r="AA34" s="29">
        <v>2</v>
      </c>
      <c r="AB34" s="29">
        <v>6</v>
      </c>
      <c r="AC34" s="29">
        <v>0</v>
      </c>
      <c r="AD34" s="29">
        <v>6</v>
      </c>
      <c r="AE34" s="29">
        <v>2.79</v>
      </c>
      <c r="AF34" s="29">
        <v>6</v>
      </c>
      <c r="AG34" s="29">
        <v>5</v>
      </c>
      <c r="AH34" s="29">
        <v>8</v>
      </c>
      <c r="AI34" s="29">
        <v>1</v>
      </c>
      <c r="AJ34" s="29">
        <v>0</v>
      </c>
      <c r="AK34" s="29">
        <v>20</v>
      </c>
      <c r="AL34" s="29" t="s">
        <v>86</v>
      </c>
      <c r="AM34" s="29" t="str">
        <f t="shared" si="0"/>
        <v>Sri Lanka</v>
      </c>
      <c r="AN34" s="29" t="s">
        <v>150</v>
      </c>
      <c r="AO34" s="29" t="s">
        <v>132</v>
      </c>
      <c r="AP34" s="29" t="s">
        <v>62</v>
      </c>
      <c r="AQ34" s="29" t="s">
        <v>96</v>
      </c>
      <c r="AR34" s="29" t="s">
        <v>63</v>
      </c>
      <c r="AS34" s="29" t="s">
        <v>64</v>
      </c>
      <c r="AT34" t="str">
        <f t="shared" si="1"/>
        <v>No</v>
      </c>
    </row>
    <row r="35" spans="1:46">
      <c r="A35" s="29">
        <v>34</v>
      </c>
      <c r="B35" s="37">
        <v>45233</v>
      </c>
      <c r="C35" s="38">
        <v>0.4375</v>
      </c>
      <c r="D35" s="29" t="s">
        <v>104</v>
      </c>
      <c r="E35" s="29" t="s">
        <v>105</v>
      </c>
      <c r="F35" s="29" t="s">
        <v>58</v>
      </c>
      <c r="G35" s="29" t="s">
        <v>67</v>
      </c>
      <c r="H35" s="29" t="s">
        <v>58</v>
      </c>
      <c r="I35" s="29" t="s">
        <v>87</v>
      </c>
      <c r="J35" s="29">
        <v>181</v>
      </c>
      <c r="K35" s="29">
        <v>3</v>
      </c>
      <c r="L35" s="29">
        <v>31.3</v>
      </c>
      <c r="M35" s="29">
        <v>0</v>
      </c>
      <c r="N35" s="29">
        <v>19</v>
      </c>
      <c r="O35" s="29">
        <v>0</v>
      </c>
      <c r="P35" s="29">
        <v>19</v>
      </c>
      <c r="Q35" s="29">
        <v>5.74</v>
      </c>
      <c r="R35" s="29">
        <v>3</v>
      </c>
      <c r="S35" s="29">
        <v>0</v>
      </c>
      <c r="T35" s="29">
        <v>7</v>
      </c>
      <c r="U35" s="29">
        <v>2</v>
      </c>
      <c r="V35" s="29">
        <v>0</v>
      </c>
      <c r="W35" s="29">
        <v>12</v>
      </c>
      <c r="X35" s="29">
        <v>179</v>
      </c>
      <c r="Y35" s="29">
        <v>10</v>
      </c>
      <c r="Z35" s="29">
        <v>46.3</v>
      </c>
      <c r="AA35" s="29">
        <v>1</v>
      </c>
      <c r="AB35" s="29">
        <v>21</v>
      </c>
      <c r="AC35" s="29">
        <v>0</v>
      </c>
      <c r="AD35" s="29">
        <v>21</v>
      </c>
      <c r="AE35" s="29">
        <v>3.84</v>
      </c>
      <c r="AF35" s="29">
        <v>2</v>
      </c>
      <c r="AG35" s="29">
        <v>0</v>
      </c>
      <c r="AH35" s="29">
        <v>14</v>
      </c>
      <c r="AI35" s="29">
        <v>0</v>
      </c>
      <c r="AJ35" s="29">
        <v>0</v>
      </c>
      <c r="AK35" s="29">
        <v>16</v>
      </c>
      <c r="AL35" s="29" t="s">
        <v>67</v>
      </c>
      <c r="AM35" s="29" t="str">
        <f t="shared" si="0"/>
        <v>Netherlands</v>
      </c>
      <c r="AN35" s="29" t="s">
        <v>109</v>
      </c>
      <c r="AO35" s="29" t="s">
        <v>151</v>
      </c>
      <c r="AP35" s="29" t="s">
        <v>52</v>
      </c>
      <c r="AQ35" s="29" t="s">
        <v>81</v>
      </c>
      <c r="AR35" s="29" t="s">
        <v>82</v>
      </c>
      <c r="AS35" s="29" t="s">
        <v>54</v>
      </c>
      <c r="AT35" t="str">
        <f t="shared" si="1"/>
        <v>No</v>
      </c>
    </row>
    <row r="36" spans="1:46">
      <c r="A36" s="29">
        <v>35</v>
      </c>
      <c r="B36" s="37">
        <v>45234</v>
      </c>
      <c r="C36" s="38">
        <v>0.58333333333333304</v>
      </c>
      <c r="D36" s="29" t="s">
        <v>122</v>
      </c>
      <c r="E36" s="29" t="s">
        <v>123</v>
      </c>
      <c r="F36" s="29" t="s">
        <v>47</v>
      </c>
      <c r="G36" s="29" t="s">
        <v>57</v>
      </c>
      <c r="H36" s="29" t="s">
        <v>57</v>
      </c>
      <c r="I36" s="29" t="s">
        <v>48</v>
      </c>
      <c r="J36" s="29">
        <v>401</v>
      </c>
      <c r="K36" s="29">
        <v>6</v>
      </c>
      <c r="L36" s="29">
        <v>50</v>
      </c>
      <c r="M36" s="29">
        <v>1</v>
      </c>
      <c r="N36" s="29">
        <v>46</v>
      </c>
      <c r="O36" s="29">
        <v>8</v>
      </c>
      <c r="P36" s="29">
        <v>54</v>
      </c>
      <c r="Q36" s="29">
        <v>8.02</v>
      </c>
      <c r="R36" s="29">
        <v>1</v>
      </c>
      <c r="S36" s="29">
        <v>0</v>
      </c>
      <c r="T36" s="29">
        <v>3</v>
      </c>
      <c r="U36" s="29">
        <v>0</v>
      </c>
      <c r="V36" s="29">
        <v>0</v>
      </c>
      <c r="W36" s="29">
        <v>4</v>
      </c>
      <c r="X36" s="29">
        <v>200</v>
      </c>
      <c r="Y36" s="29">
        <v>1</v>
      </c>
      <c r="Z36" s="29">
        <v>25.3</v>
      </c>
      <c r="AA36" s="29">
        <v>0</v>
      </c>
      <c r="AB36" s="29">
        <v>15</v>
      </c>
      <c r="AC36" s="29">
        <v>13</v>
      </c>
      <c r="AD36" s="29">
        <v>28</v>
      </c>
      <c r="AE36" s="29">
        <v>7.84</v>
      </c>
      <c r="AF36" s="29">
        <v>8</v>
      </c>
      <c r="AG36" s="29">
        <v>0</v>
      </c>
      <c r="AH36" s="29">
        <v>17</v>
      </c>
      <c r="AI36" s="29">
        <v>1</v>
      </c>
      <c r="AJ36" s="29">
        <v>0</v>
      </c>
      <c r="AK36" s="29">
        <v>26</v>
      </c>
      <c r="AL36" s="29" t="s">
        <v>57</v>
      </c>
      <c r="AM36" s="29" t="str">
        <f t="shared" si="0"/>
        <v>NewZealand</v>
      </c>
      <c r="AN36" s="29" t="s">
        <v>152</v>
      </c>
      <c r="AO36" s="29" t="s">
        <v>147</v>
      </c>
      <c r="AP36" s="29" t="s">
        <v>53</v>
      </c>
      <c r="AQ36" s="29" t="s">
        <v>91</v>
      </c>
      <c r="AR36" s="29" t="s">
        <v>80</v>
      </c>
      <c r="AS36" s="29" t="s">
        <v>92</v>
      </c>
      <c r="AT36" t="str">
        <f t="shared" si="1"/>
        <v>yes</v>
      </c>
    </row>
    <row r="37" spans="1:46">
      <c r="A37" s="29">
        <v>36</v>
      </c>
      <c r="B37" s="37">
        <v>45234</v>
      </c>
      <c r="C37" s="38">
        <v>0.58333333333333304</v>
      </c>
      <c r="D37" s="29" t="s">
        <v>44</v>
      </c>
      <c r="E37" s="29" t="s">
        <v>45</v>
      </c>
      <c r="F37" s="29" t="s">
        <v>85</v>
      </c>
      <c r="G37" s="29" t="s">
        <v>46</v>
      </c>
      <c r="H37" s="29" t="s">
        <v>46</v>
      </c>
      <c r="I37" s="29" t="s">
        <v>48</v>
      </c>
      <c r="J37" s="29">
        <v>286</v>
      </c>
      <c r="K37" s="29">
        <v>10</v>
      </c>
      <c r="L37" s="29">
        <v>49.3</v>
      </c>
      <c r="M37" s="29">
        <v>2</v>
      </c>
      <c r="N37" s="29">
        <v>25</v>
      </c>
      <c r="O37" s="29">
        <v>3</v>
      </c>
      <c r="P37" s="29">
        <v>28</v>
      </c>
      <c r="Q37" s="29">
        <v>5.77</v>
      </c>
      <c r="R37" s="29">
        <v>6</v>
      </c>
      <c r="S37" s="29">
        <v>0</v>
      </c>
      <c r="T37" s="29">
        <v>8</v>
      </c>
      <c r="U37" s="29">
        <v>0</v>
      </c>
      <c r="V37" s="29">
        <v>0</v>
      </c>
      <c r="W37" s="29">
        <v>14</v>
      </c>
      <c r="X37" s="29">
        <v>253</v>
      </c>
      <c r="Y37" s="29">
        <v>10</v>
      </c>
      <c r="Z37" s="29">
        <v>48.1</v>
      </c>
      <c r="AA37" s="29">
        <v>1</v>
      </c>
      <c r="AB37" s="29">
        <v>22</v>
      </c>
      <c r="AC37" s="29">
        <v>6</v>
      </c>
      <c r="AD37" s="29">
        <v>28</v>
      </c>
      <c r="AE37" s="29">
        <v>5.25</v>
      </c>
      <c r="AF37" s="29">
        <v>6</v>
      </c>
      <c r="AG37" s="29">
        <v>0</v>
      </c>
      <c r="AH37" s="29">
        <v>4</v>
      </c>
      <c r="AI37" s="29">
        <v>0</v>
      </c>
      <c r="AJ37" s="29">
        <v>0</v>
      </c>
      <c r="AK37" s="29">
        <v>10</v>
      </c>
      <c r="AL37" s="29" t="s">
        <v>85</v>
      </c>
      <c r="AM37" s="29" t="str">
        <f t="shared" si="0"/>
        <v>England</v>
      </c>
      <c r="AN37" s="29" t="s">
        <v>153</v>
      </c>
      <c r="AO37" s="29" t="s">
        <v>114</v>
      </c>
      <c r="AP37" s="29" t="s">
        <v>90</v>
      </c>
      <c r="AQ37" s="29" t="s">
        <v>103</v>
      </c>
      <c r="AR37" s="29" t="s">
        <v>61</v>
      </c>
      <c r="AS37" s="29" t="s">
        <v>64</v>
      </c>
      <c r="AT37" t="str">
        <f t="shared" si="1"/>
        <v>No</v>
      </c>
    </row>
    <row r="38" spans="1:46">
      <c r="A38" s="29">
        <v>37</v>
      </c>
      <c r="B38" s="37">
        <v>45235</v>
      </c>
      <c r="C38" s="38">
        <v>0.58333333333333304</v>
      </c>
      <c r="D38" s="29" t="s">
        <v>141</v>
      </c>
      <c r="E38" s="29" t="s">
        <v>56</v>
      </c>
      <c r="F38" s="29" t="s">
        <v>86</v>
      </c>
      <c r="G38" s="29" t="s">
        <v>76</v>
      </c>
      <c r="H38" s="29" t="s">
        <v>86</v>
      </c>
      <c r="I38" s="29" t="s">
        <v>87</v>
      </c>
      <c r="J38" s="29">
        <v>326</v>
      </c>
      <c r="K38" s="29">
        <v>5</v>
      </c>
      <c r="L38" s="29">
        <v>50</v>
      </c>
      <c r="M38" s="29">
        <v>3</v>
      </c>
      <c r="N38" s="29">
        <v>35</v>
      </c>
      <c r="O38" s="29">
        <v>6</v>
      </c>
      <c r="P38" s="29">
        <v>41</v>
      </c>
      <c r="Q38" s="29">
        <v>6.52</v>
      </c>
      <c r="R38" s="29">
        <v>0</v>
      </c>
      <c r="S38" s="29">
        <v>0</v>
      </c>
      <c r="T38" s="29">
        <v>2</v>
      </c>
      <c r="U38" s="29">
        <v>0</v>
      </c>
      <c r="V38" s="29">
        <v>0</v>
      </c>
      <c r="W38" s="29">
        <v>2</v>
      </c>
      <c r="X38" s="29">
        <v>83</v>
      </c>
      <c r="Y38" s="29">
        <v>10</v>
      </c>
      <c r="Z38" s="29">
        <v>27.1</v>
      </c>
      <c r="AA38" s="29">
        <v>1</v>
      </c>
      <c r="AB38" s="29">
        <v>10</v>
      </c>
      <c r="AC38" s="29">
        <v>0</v>
      </c>
      <c r="AD38" s="29">
        <v>10</v>
      </c>
      <c r="AE38" s="29">
        <v>3.05</v>
      </c>
      <c r="AF38" s="29">
        <v>2</v>
      </c>
      <c r="AG38" s="29">
        <v>0</v>
      </c>
      <c r="AH38" s="29">
        <v>22</v>
      </c>
      <c r="AI38" s="29">
        <v>2</v>
      </c>
      <c r="AJ38" s="29">
        <v>0</v>
      </c>
      <c r="AK38" s="29">
        <v>26</v>
      </c>
      <c r="AL38" s="29" t="s">
        <v>86</v>
      </c>
      <c r="AM38" s="29" t="str">
        <f t="shared" si="0"/>
        <v>South Africa</v>
      </c>
      <c r="AN38" s="29" t="s">
        <v>154</v>
      </c>
      <c r="AO38" s="29" t="s">
        <v>121</v>
      </c>
      <c r="AP38" s="29" t="s">
        <v>96</v>
      </c>
      <c r="AQ38" s="29" t="s">
        <v>51</v>
      </c>
      <c r="AR38" s="29" t="s">
        <v>62</v>
      </c>
      <c r="AS38" s="29" t="s">
        <v>73</v>
      </c>
      <c r="AT38" t="str">
        <f t="shared" si="1"/>
        <v>yes</v>
      </c>
    </row>
    <row r="39" spans="1:46">
      <c r="A39" s="29">
        <v>38</v>
      </c>
      <c r="B39" s="37">
        <v>45236</v>
      </c>
      <c r="C39" s="38">
        <v>0.58333333333333304</v>
      </c>
      <c r="D39" s="29" t="s">
        <v>74</v>
      </c>
      <c r="E39" s="29" t="s">
        <v>75</v>
      </c>
      <c r="F39" s="29" t="s">
        <v>77</v>
      </c>
      <c r="G39" s="29" t="s">
        <v>68</v>
      </c>
      <c r="H39" s="29" t="s">
        <v>68</v>
      </c>
      <c r="I39" s="29" t="s">
        <v>48</v>
      </c>
      <c r="J39" s="29">
        <v>279</v>
      </c>
      <c r="K39" s="29">
        <v>10</v>
      </c>
      <c r="L39" s="29">
        <v>49.3</v>
      </c>
      <c r="M39" s="29">
        <v>2</v>
      </c>
      <c r="N39" s="29">
        <v>27</v>
      </c>
      <c r="O39" s="29">
        <v>7</v>
      </c>
      <c r="P39" s="29">
        <v>34</v>
      </c>
      <c r="Q39" s="29">
        <v>5.63</v>
      </c>
      <c r="R39" s="29">
        <v>13</v>
      </c>
      <c r="S39" s="29">
        <v>0</v>
      </c>
      <c r="T39" s="29">
        <v>10</v>
      </c>
      <c r="U39" s="29">
        <v>0</v>
      </c>
      <c r="V39" s="29">
        <v>0</v>
      </c>
      <c r="W39" s="29">
        <v>23</v>
      </c>
      <c r="X39" s="29">
        <v>282</v>
      </c>
      <c r="Y39" s="29">
        <v>7</v>
      </c>
      <c r="Z39" s="29">
        <v>41.1</v>
      </c>
      <c r="AA39" s="29">
        <v>1</v>
      </c>
      <c r="AB39" s="29">
        <v>33</v>
      </c>
      <c r="AC39" s="29">
        <v>7</v>
      </c>
      <c r="AD39" s="29">
        <v>40</v>
      </c>
      <c r="AE39" s="29">
        <v>6.85</v>
      </c>
      <c r="AF39" s="29">
        <v>2</v>
      </c>
      <c r="AG39" s="29">
        <v>0</v>
      </c>
      <c r="AH39" s="29">
        <v>4</v>
      </c>
      <c r="AI39" s="29">
        <v>0</v>
      </c>
      <c r="AJ39" s="29">
        <v>0</v>
      </c>
      <c r="AK39" s="29">
        <v>6</v>
      </c>
      <c r="AL39" s="29" t="s">
        <v>68</v>
      </c>
      <c r="AM39" s="29" t="str">
        <f t="shared" si="0"/>
        <v>Sri Lanka</v>
      </c>
      <c r="AN39" s="29" t="s">
        <v>155</v>
      </c>
      <c r="AO39" s="29" t="s">
        <v>156</v>
      </c>
      <c r="AP39" s="29" t="s">
        <v>80</v>
      </c>
      <c r="AQ39" s="29" t="s">
        <v>103</v>
      </c>
      <c r="AR39" s="29" t="s">
        <v>52</v>
      </c>
      <c r="AS39" s="29" t="s">
        <v>92</v>
      </c>
      <c r="AT39" t="str">
        <f t="shared" si="1"/>
        <v>yes</v>
      </c>
    </row>
    <row r="40" spans="1:46">
      <c r="A40" s="29">
        <v>39</v>
      </c>
      <c r="B40" s="37">
        <v>45237</v>
      </c>
      <c r="C40" s="38">
        <v>0.58333333333333304</v>
      </c>
      <c r="D40" s="29" t="s">
        <v>127</v>
      </c>
      <c r="E40" s="29" t="s">
        <v>128</v>
      </c>
      <c r="F40" s="29" t="s">
        <v>85</v>
      </c>
      <c r="G40" s="29" t="s">
        <v>67</v>
      </c>
      <c r="H40" s="29" t="s">
        <v>67</v>
      </c>
      <c r="I40" s="29" t="s">
        <v>87</v>
      </c>
      <c r="J40" s="29">
        <v>293</v>
      </c>
      <c r="K40" s="29">
        <v>7</v>
      </c>
      <c r="L40" s="29">
        <v>46.5</v>
      </c>
      <c r="M40" s="29">
        <v>0</v>
      </c>
      <c r="N40" s="29">
        <v>30</v>
      </c>
      <c r="O40" s="29">
        <v>12</v>
      </c>
      <c r="P40" s="29">
        <v>42</v>
      </c>
      <c r="Q40" s="29">
        <v>6.25</v>
      </c>
      <c r="R40" s="29">
        <v>5</v>
      </c>
      <c r="S40" s="29">
        <v>0</v>
      </c>
      <c r="T40" s="29">
        <v>10</v>
      </c>
      <c r="U40" s="29">
        <v>1</v>
      </c>
      <c r="V40" s="29">
        <v>0</v>
      </c>
      <c r="W40" s="29">
        <v>16</v>
      </c>
      <c r="X40" s="29">
        <v>291</v>
      </c>
      <c r="Y40" s="29">
        <v>5</v>
      </c>
      <c r="Z40" s="29">
        <v>50</v>
      </c>
      <c r="AA40" s="29">
        <v>3</v>
      </c>
      <c r="AB40" s="29">
        <v>16</v>
      </c>
      <c r="AC40" s="29">
        <v>9</v>
      </c>
      <c r="AD40" s="29">
        <v>25</v>
      </c>
      <c r="AE40" s="29">
        <v>5.82</v>
      </c>
      <c r="AF40" s="29">
        <v>1</v>
      </c>
      <c r="AG40" s="29">
        <v>4</v>
      </c>
      <c r="AH40" s="29">
        <v>10</v>
      </c>
      <c r="AI40" s="29">
        <v>0</v>
      </c>
      <c r="AJ40" s="29">
        <v>0</v>
      </c>
      <c r="AK40" s="29">
        <v>15</v>
      </c>
      <c r="AL40" s="29" t="s">
        <v>85</v>
      </c>
      <c r="AM40" s="29" t="str">
        <f t="shared" si="0"/>
        <v>Afghanistan</v>
      </c>
      <c r="AN40" s="29" t="s">
        <v>155</v>
      </c>
      <c r="AO40" s="29" t="s">
        <v>135</v>
      </c>
      <c r="AP40" s="29" t="s">
        <v>82</v>
      </c>
      <c r="AQ40" s="29" t="s">
        <v>100</v>
      </c>
      <c r="AR40" s="29" t="s">
        <v>90</v>
      </c>
      <c r="AS40" s="29" t="s">
        <v>64</v>
      </c>
      <c r="AT40" t="str">
        <f t="shared" si="1"/>
        <v>No</v>
      </c>
    </row>
    <row r="41" spans="1:46">
      <c r="A41" s="29">
        <v>40</v>
      </c>
      <c r="B41" s="37">
        <v>45238</v>
      </c>
      <c r="C41" s="38">
        <v>0.58333333333333304</v>
      </c>
      <c r="D41" s="29" t="s">
        <v>119</v>
      </c>
      <c r="E41" s="29" t="s">
        <v>120</v>
      </c>
      <c r="F41" s="29" t="s">
        <v>46</v>
      </c>
      <c r="G41" s="29" t="s">
        <v>58</v>
      </c>
      <c r="H41" s="29" t="s">
        <v>46</v>
      </c>
      <c r="I41" s="29" t="s">
        <v>87</v>
      </c>
      <c r="J41" s="29">
        <v>179</v>
      </c>
      <c r="K41" s="29">
        <v>10</v>
      </c>
      <c r="L41" s="29">
        <v>37.200000000000003</v>
      </c>
      <c r="M41" s="29">
        <v>2</v>
      </c>
      <c r="N41" s="29">
        <v>26</v>
      </c>
      <c r="O41" s="29">
        <v>10</v>
      </c>
      <c r="P41" s="29">
        <v>36</v>
      </c>
      <c r="Q41" s="29">
        <v>4.79</v>
      </c>
      <c r="R41" s="29">
        <v>4</v>
      </c>
      <c r="S41" s="29">
        <v>0</v>
      </c>
      <c r="T41" s="29">
        <v>4</v>
      </c>
      <c r="U41" s="29">
        <v>0</v>
      </c>
      <c r="V41" s="29">
        <v>0</v>
      </c>
      <c r="W41" s="29">
        <v>8</v>
      </c>
      <c r="X41" s="29">
        <v>339</v>
      </c>
      <c r="Y41" s="29">
        <v>9</v>
      </c>
      <c r="Z41" s="29">
        <v>50</v>
      </c>
      <c r="AA41" s="29">
        <v>0</v>
      </c>
      <c r="AB41" s="29">
        <v>15</v>
      </c>
      <c r="AC41" s="29">
        <v>6</v>
      </c>
      <c r="AD41" s="29">
        <v>21</v>
      </c>
      <c r="AE41" s="29">
        <v>6.78</v>
      </c>
      <c r="AF41" s="29">
        <v>0</v>
      </c>
      <c r="AG41" s="29">
        <v>0</v>
      </c>
      <c r="AH41" s="29">
        <v>20</v>
      </c>
      <c r="AI41" s="29">
        <v>1</v>
      </c>
      <c r="AJ41" s="29">
        <v>0</v>
      </c>
      <c r="AK41" s="29">
        <v>21</v>
      </c>
      <c r="AL41" s="29" t="s">
        <v>46</v>
      </c>
      <c r="AM41" s="29" t="str">
        <f t="shared" si="0"/>
        <v>Netherlands</v>
      </c>
      <c r="AN41" s="29" t="s">
        <v>157</v>
      </c>
      <c r="AO41" s="29" t="s">
        <v>158</v>
      </c>
      <c r="AP41" s="29" t="s">
        <v>72</v>
      </c>
      <c r="AQ41" s="29" t="s">
        <v>63</v>
      </c>
      <c r="AR41" s="29" t="s">
        <v>103</v>
      </c>
      <c r="AS41" s="29" t="s">
        <v>73</v>
      </c>
      <c r="AT41" t="str">
        <f t="shared" si="1"/>
        <v>yes</v>
      </c>
    </row>
    <row r="42" spans="1:46">
      <c r="A42" s="29">
        <v>41</v>
      </c>
      <c r="B42" s="37">
        <v>45239</v>
      </c>
      <c r="C42" s="38">
        <v>0.58333333333333304</v>
      </c>
      <c r="D42" s="29" t="s">
        <v>122</v>
      </c>
      <c r="E42" s="29" t="s">
        <v>123</v>
      </c>
      <c r="F42" s="29" t="s">
        <v>47</v>
      </c>
      <c r="G42" s="29" t="s">
        <v>77</v>
      </c>
      <c r="H42" s="29" t="s">
        <v>47</v>
      </c>
      <c r="I42" s="29" t="s">
        <v>48</v>
      </c>
      <c r="J42" s="29">
        <v>171</v>
      </c>
      <c r="K42" s="29">
        <v>10</v>
      </c>
      <c r="L42" s="29">
        <v>46.4</v>
      </c>
      <c r="M42" s="29">
        <v>7</v>
      </c>
      <c r="N42" s="29">
        <v>23</v>
      </c>
      <c r="O42" s="29">
        <v>5</v>
      </c>
      <c r="P42" s="29">
        <v>28</v>
      </c>
      <c r="Q42" s="29">
        <v>3.66</v>
      </c>
      <c r="R42" s="29">
        <v>1</v>
      </c>
      <c r="S42" s="29">
        <v>0</v>
      </c>
      <c r="T42" s="29">
        <v>3</v>
      </c>
      <c r="U42" s="29">
        <v>0</v>
      </c>
      <c r="V42" s="29">
        <v>0</v>
      </c>
      <c r="W42" s="29">
        <v>4</v>
      </c>
      <c r="X42" s="29">
        <v>172</v>
      </c>
      <c r="Y42" s="29">
        <v>5</v>
      </c>
      <c r="Z42" s="29">
        <v>23.2</v>
      </c>
      <c r="AA42" s="29">
        <v>1</v>
      </c>
      <c r="AB42" s="29">
        <v>21</v>
      </c>
      <c r="AC42" s="29">
        <v>3</v>
      </c>
      <c r="AD42" s="29">
        <v>24</v>
      </c>
      <c r="AE42" s="29">
        <v>7.37</v>
      </c>
      <c r="AF42" s="29">
        <v>0</v>
      </c>
      <c r="AG42" s="29">
        <v>0</v>
      </c>
      <c r="AH42" s="29">
        <v>2</v>
      </c>
      <c r="AI42" s="29">
        <v>0</v>
      </c>
      <c r="AJ42" s="29">
        <v>0</v>
      </c>
      <c r="AK42" s="29">
        <v>2</v>
      </c>
      <c r="AL42" s="29" t="s">
        <v>47</v>
      </c>
      <c r="AM42" s="29" t="str">
        <f t="shared" si="0"/>
        <v>Sri Lanka</v>
      </c>
      <c r="AN42" s="29" t="s">
        <v>113</v>
      </c>
      <c r="AO42" s="29" t="s">
        <v>159</v>
      </c>
      <c r="AP42" s="29" t="s">
        <v>61</v>
      </c>
      <c r="AQ42" s="29" t="s">
        <v>71</v>
      </c>
      <c r="AR42" s="29" t="s">
        <v>91</v>
      </c>
      <c r="AS42" s="29" t="s">
        <v>54</v>
      </c>
      <c r="AT42" t="str">
        <f t="shared" si="1"/>
        <v>yes</v>
      </c>
    </row>
    <row r="43" spans="1:46">
      <c r="A43" s="29">
        <v>42</v>
      </c>
      <c r="B43" s="37">
        <v>45240</v>
      </c>
      <c r="C43" s="38">
        <v>0.4375</v>
      </c>
      <c r="D43" s="29" t="s">
        <v>44</v>
      </c>
      <c r="E43" s="29" t="s">
        <v>45</v>
      </c>
      <c r="F43" s="29" t="s">
        <v>67</v>
      </c>
      <c r="G43" s="29" t="s">
        <v>76</v>
      </c>
      <c r="H43" s="29" t="s">
        <v>67</v>
      </c>
      <c r="I43" s="29" t="s">
        <v>87</v>
      </c>
      <c r="J43" s="29">
        <v>244</v>
      </c>
      <c r="K43" s="29">
        <v>10</v>
      </c>
      <c r="L43" s="29">
        <v>50</v>
      </c>
      <c r="M43" s="29">
        <v>2</v>
      </c>
      <c r="N43" s="29">
        <v>20</v>
      </c>
      <c r="O43" s="29">
        <v>6</v>
      </c>
      <c r="P43" s="29">
        <v>26</v>
      </c>
      <c r="Q43" s="29">
        <v>4.88</v>
      </c>
      <c r="R43" s="29">
        <v>3</v>
      </c>
      <c r="S43" s="29">
        <v>0</v>
      </c>
      <c r="T43" s="29">
        <v>6</v>
      </c>
      <c r="U43" s="29">
        <v>0</v>
      </c>
      <c r="V43" s="29">
        <v>0</v>
      </c>
      <c r="W43" s="29">
        <v>9</v>
      </c>
      <c r="X43" s="29">
        <v>247</v>
      </c>
      <c r="Y43" s="29">
        <v>5</v>
      </c>
      <c r="Z43" s="29">
        <v>47.3</v>
      </c>
      <c r="AA43" s="29">
        <v>2</v>
      </c>
      <c r="AB43" s="29">
        <v>15</v>
      </c>
      <c r="AC43" s="29">
        <v>9</v>
      </c>
      <c r="AD43" s="29">
        <v>24</v>
      </c>
      <c r="AE43" s="29" t="s">
        <v>160</v>
      </c>
      <c r="AF43" s="29">
        <v>1</v>
      </c>
      <c r="AG43" s="29">
        <v>4</v>
      </c>
      <c r="AH43" s="29">
        <v>10</v>
      </c>
      <c r="AI43" s="29">
        <v>0</v>
      </c>
      <c r="AJ43" s="29">
        <v>0</v>
      </c>
      <c r="AK43" s="29">
        <v>15</v>
      </c>
      <c r="AL43" s="29" t="s">
        <v>76</v>
      </c>
      <c r="AM43" s="29" t="str">
        <f t="shared" si="0"/>
        <v>Afghanistan</v>
      </c>
      <c r="AN43" s="29" t="s">
        <v>113</v>
      </c>
      <c r="AO43" s="29" t="s">
        <v>149</v>
      </c>
      <c r="AP43" s="29" t="s">
        <v>52</v>
      </c>
      <c r="AQ43" s="29" t="s">
        <v>62</v>
      </c>
      <c r="AR43" s="29" t="s">
        <v>51</v>
      </c>
      <c r="AS43" s="29" t="s">
        <v>64</v>
      </c>
      <c r="AT43" t="str">
        <f t="shared" si="1"/>
        <v>No</v>
      </c>
    </row>
    <row r="44" spans="1:46">
      <c r="A44" s="29">
        <v>43</v>
      </c>
      <c r="B44" s="37">
        <v>45241</v>
      </c>
      <c r="C44" s="38">
        <v>0.58333333333333304</v>
      </c>
      <c r="D44" s="29" t="s">
        <v>119</v>
      </c>
      <c r="E44" s="29" t="s">
        <v>120</v>
      </c>
      <c r="F44" s="29" t="s">
        <v>85</v>
      </c>
      <c r="G44" s="29" t="s">
        <v>68</v>
      </c>
      <c r="H44" s="29" t="s">
        <v>85</v>
      </c>
      <c r="I44" s="29" t="s">
        <v>48</v>
      </c>
      <c r="J44" s="29">
        <v>306</v>
      </c>
      <c r="K44" s="29">
        <v>8</v>
      </c>
      <c r="L44" s="29">
        <v>50</v>
      </c>
      <c r="M44" s="29">
        <v>1</v>
      </c>
      <c r="N44" s="29">
        <v>29</v>
      </c>
      <c r="O44" s="29">
        <v>10</v>
      </c>
      <c r="P44" s="29">
        <v>39</v>
      </c>
      <c r="Q44" s="29">
        <v>6.12</v>
      </c>
      <c r="R44" s="29">
        <v>10</v>
      </c>
      <c r="S44" s="29">
        <v>0</v>
      </c>
      <c r="T44" s="29">
        <v>12</v>
      </c>
      <c r="U44" s="29">
        <v>2</v>
      </c>
      <c r="V44" s="29">
        <v>0</v>
      </c>
      <c r="W44" s="29">
        <v>24</v>
      </c>
      <c r="X44" s="29">
        <v>307</v>
      </c>
      <c r="Y44" s="29">
        <v>2</v>
      </c>
      <c r="Z44" s="29">
        <v>44.4</v>
      </c>
      <c r="AA44" s="29">
        <v>1</v>
      </c>
      <c r="AB44" s="29">
        <v>27</v>
      </c>
      <c r="AC44" s="29">
        <v>6</v>
      </c>
      <c r="AD44" s="29">
        <v>33</v>
      </c>
      <c r="AE44" s="29">
        <v>6.87</v>
      </c>
      <c r="AF44" s="29">
        <v>0</v>
      </c>
      <c r="AG44" s="29">
        <v>0</v>
      </c>
      <c r="AH44" s="29">
        <v>4</v>
      </c>
      <c r="AI44" s="29">
        <v>0</v>
      </c>
      <c r="AJ44" s="29">
        <v>0</v>
      </c>
      <c r="AK44" s="29">
        <v>4</v>
      </c>
      <c r="AL44" s="29" t="s">
        <v>85</v>
      </c>
      <c r="AM44" s="29" t="str">
        <f t="shared" si="0"/>
        <v>Bangladesh</v>
      </c>
      <c r="AN44" s="29" t="s">
        <v>101</v>
      </c>
      <c r="AO44" s="29" t="s">
        <v>161</v>
      </c>
      <c r="AP44" s="29" t="s">
        <v>72</v>
      </c>
      <c r="AQ44" s="29" t="s">
        <v>103</v>
      </c>
      <c r="AR44" s="29" t="s">
        <v>80</v>
      </c>
      <c r="AS44" s="29" t="s">
        <v>73</v>
      </c>
      <c r="AT44" t="str">
        <f t="shared" si="1"/>
        <v>yes</v>
      </c>
    </row>
    <row r="45" spans="1:46">
      <c r="A45" s="29">
        <v>44</v>
      </c>
      <c r="B45" s="37">
        <v>45241</v>
      </c>
      <c r="C45" s="38">
        <v>0.58333333333333304</v>
      </c>
      <c r="D45" s="29" t="s">
        <v>141</v>
      </c>
      <c r="E45" s="29" t="s">
        <v>56</v>
      </c>
      <c r="F45" s="29" t="s">
        <v>46</v>
      </c>
      <c r="G45" s="29" t="s">
        <v>57</v>
      </c>
      <c r="H45" s="29" t="s">
        <v>46</v>
      </c>
      <c r="I45" s="29" t="s">
        <v>87</v>
      </c>
      <c r="J45" s="29">
        <v>244</v>
      </c>
      <c r="K45" s="29">
        <v>10</v>
      </c>
      <c r="L45" s="29">
        <v>50</v>
      </c>
      <c r="M45" s="29">
        <v>1</v>
      </c>
      <c r="N45" s="29">
        <v>27</v>
      </c>
      <c r="O45" s="29">
        <v>6</v>
      </c>
      <c r="P45" s="29">
        <v>33</v>
      </c>
      <c r="Q45" s="29">
        <v>6.74</v>
      </c>
      <c r="R45" s="29">
        <v>2</v>
      </c>
      <c r="S45" s="29">
        <v>5</v>
      </c>
      <c r="T45" s="29">
        <v>12</v>
      </c>
      <c r="U45" s="29">
        <v>0</v>
      </c>
      <c r="V45" s="29">
        <v>0</v>
      </c>
      <c r="W45" s="29">
        <v>19</v>
      </c>
      <c r="X45" s="29">
        <v>337</v>
      </c>
      <c r="Y45" s="29">
        <v>9</v>
      </c>
      <c r="Z45" s="29">
        <v>43.3</v>
      </c>
      <c r="AA45" s="29">
        <v>0</v>
      </c>
      <c r="AB45" s="29">
        <v>35</v>
      </c>
      <c r="AC45" s="29">
        <v>8</v>
      </c>
      <c r="AD45" s="29">
        <v>43</v>
      </c>
      <c r="AE45" s="29">
        <v>5.6</v>
      </c>
      <c r="AF45" s="29">
        <v>1</v>
      </c>
      <c r="AG45" s="29">
        <v>0</v>
      </c>
      <c r="AH45" s="29">
        <v>5</v>
      </c>
      <c r="AI45" s="29">
        <v>0</v>
      </c>
      <c r="AJ45" s="29">
        <v>0</v>
      </c>
      <c r="AK45" s="29">
        <v>6</v>
      </c>
      <c r="AL45" s="29" t="s">
        <v>46</v>
      </c>
      <c r="AM45" s="29" t="str">
        <f t="shared" si="0"/>
        <v>Pakistan</v>
      </c>
      <c r="AN45" s="29" t="s">
        <v>162</v>
      </c>
      <c r="AO45" s="29" t="s">
        <v>163</v>
      </c>
      <c r="AP45" s="29" t="s">
        <v>53</v>
      </c>
      <c r="AQ45" s="29" t="s">
        <v>63</v>
      </c>
      <c r="AR45" s="29" t="s">
        <v>81</v>
      </c>
      <c r="AS45" s="29" t="s">
        <v>54</v>
      </c>
      <c r="AT45" t="str">
        <f t="shared" si="1"/>
        <v>yes</v>
      </c>
    </row>
    <row r="46" spans="1:46">
      <c r="A46" s="29">
        <v>45</v>
      </c>
      <c r="B46" s="37">
        <v>45242</v>
      </c>
      <c r="C46" s="38">
        <v>0.58333333333333304</v>
      </c>
      <c r="D46" s="29" t="s">
        <v>122</v>
      </c>
      <c r="E46" s="29" t="s">
        <v>123</v>
      </c>
      <c r="F46" s="29" t="s">
        <v>86</v>
      </c>
      <c r="G46" s="29" t="s">
        <v>58</v>
      </c>
      <c r="H46" s="29" t="s">
        <v>86</v>
      </c>
      <c r="I46" s="29" t="s">
        <v>87</v>
      </c>
      <c r="J46" s="29">
        <v>410</v>
      </c>
      <c r="K46" s="29">
        <v>4</v>
      </c>
      <c r="L46" s="29">
        <v>50</v>
      </c>
      <c r="M46" s="29">
        <v>3</v>
      </c>
      <c r="N46" s="29">
        <v>37</v>
      </c>
      <c r="O46" s="29">
        <v>16</v>
      </c>
      <c r="P46" s="29">
        <v>53</v>
      </c>
      <c r="Q46" s="29">
        <v>8.1999999999999993</v>
      </c>
      <c r="R46" s="29">
        <v>9</v>
      </c>
      <c r="S46" s="29">
        <v>0</v>
      </c>
      <c r="T46" s="29">
        <v>4</v>
      </c>
      <c r="U46" s="29">
        <v>0</v>
      </c>
      <c r="V46" s="29">
        <v>0</v>
      </c>
      <c r="W46" s="29">
        <v>13</v>
      </c>
      <c r="X46" s="29">
        <v>250</v>
      </c>
      <c r="Y46" s="29">
        <v>10</v>
      </c>
      <c r="Z46" s="29">
        <v>47.5</v>
      </c>
      <c r="AA46" s="29">
        <v>0</v>
      </c>
      <c r="AB46" s="29">
        <v>19</v>
      </c>
      <c r="AC46" s="29">
        <v>9</v>
      </c>
      <c r="AD46" s="29">
        <v>28</v>
      </c>
      <c r="AE46" s="29">
        <v>5.22</v>
      </c>
      <c r="AF46" s="29">
        <v>1</v>
      </c>
      <c r="AG46" s="29">
        <v>0</v>
      </c>
      <c r="AH46" s="29">
        <v>13</v>
      </c>
      <c r="AI46" s="29">
        <v>1</v>
      </c>
      <c r="AJ46" s="29">
        <v>0</v>
      </c>
      <c r="AK46" s="29">
        <v>15</v>
      </c>
      <c r="AL46" s="29" t="s">
        <v>86</v>
      </c>
      <c r="AM46" s="29" t="str">
        <f t="shared" si="0"/>
        <v>Netherlands</v>
      </c>
      <c r="AN46" s="29" t="s">
        <v>157</v>
      </c>
      <c r="AO46" s="29" t="s">
        <v>164</v>
      </c>
      <c r="AP46" s="29" t="s">
        <v>82</v>
      </c>
      <c r="AQ46" s="29" t="s">
        <v>90</v>
      </c>
      <c r="AR46" s="29" t="s">
        <v>71</v>
      </c>
      <c r="AS46" s="29" t="s">
        <v>92</v>
      </c>
      <c r="AT46" t="str">
        <f t="shared" si="1"/>
        <v>yes</v>
      </c>
    </row>
    <row r="47" spans="1:46">
      <c r="A47" s="29">
        <v>46</v>
      </c>
      <c r="B47" s="37">
        <v>45245</v>
      </c>
      <c r="C47" s="38">
        <v>0.58333333333333304</v>
      </c>
      <c r="D47" s="29" t="s">
        <v>127</v>
      </c>
      <c r="E47" s="29" t="s">
        <v>128</v>
      </c>
      <c r="F47" s="29" t="s">
        <v>86</v>
      </c>
      <c r="G47" s="29" t="s">
        <v>47</v>
      </c>
      <c r="H47" s="29" t="s">
        <v>86</v>
      </c>
      <c r="I47" s="29" t="s">
        <v>87</v>
      </c>
      <c r="J47" s="29">
        <v>397</v>
      </c>
      <c r="K47" s="29">
        <v>4</v>
      </c>
      <c r="L47" s="29">
        <v>50</v>
      </c>
      <c r="M47" s="29">
        <v>1</v>
      </c>
      <c r="N47" s="29">
        <v>30</v>
      </c>
      <c r="O47" s="29">
        <v>19</v>
      </c>
      <c r="P47" s="29">
        <v>49</v>
      </c>
      <c r="Q47" s="29">
        <v>7.94</v>
      </c>
      <c r="R47" s="29">
        <v>5</v>
      </c>
      <c r="S47" s="29">
        <v>4</v>
      </c>
      <c r="T47" s="29">
        <v>19</v>
      </c>
      <c r="U47" s="29">
        <v>1</v>
      </c>
      <c r="V47" s="29">
        <v>0</v>
      </c>
      <c r="W47" s="29">
        <v>29</v>
      </c>
      <c r="X47" s="29">
        <v>327</v>
      </c>
      <c r="Y47" s="29">
        <v>10</v>
      </c>
      <c r="Z47" s="29">
        <v>48.5</v>
      </c>
      <c r="AA47" s="29">
        <v>1</v>
      </c>
      <c r="AB47" s="29">
        <v>29</v>
      </c>
      <c r="AC47" s="29">
        <v>11</v>
      </c>
      <c r="AD47" s="29">
        <v>40</v>
      </c>
      <c r="AE47" s="29">
        <v>6.69</v>
      </c>
      <c r="AF47" s="29">
        <v>1</v>
      </c>
      <c r="AG47" s="29">
        <v>1</v>
      </c>
      <c r="AH47" s="29">
        <v>6</v>
      </c>
      <c r="AI47" s="29">
        <v>0</v>
      </c>
      <c r="AJ47" s="29">
        <v>0</v>
      </c>
      <c r="AK47" s="29">
        <v>8</v>
      </c>
      <c r="AL47" s="29" t="s">
        <v>86</v>
      </c>
      <c r="AM47" s="29" t="str">
        <f t="shared" si="0"/>
        <v>NewZealand</v>
      </c>
      <c r="AN47" s="29" t="s">
        <v>165</v>
      </c>
      <c r="AO47" s="29" t="s">
        <v>132</v>
      </c>
      <c r="AP47" s="29" t="s">
        <v>80</v>
      </c>
      <c r="AQ47" s="29" t="s">
        <v>63</v>
      </c>
      <c r="AR47" s="29" t="s">
        <v>71</v>
      </c>
      <c r="AS47" s="29" t="s">
        <v>73</v>
      </c>
      <c r="AT47" t="str">
        <f t="shared" si="1"/>
        <v>yes</v>
      </c>
    </row>
    <row r="48" spans="1:46">
      <c r="A48" s="29">
        <v>47</v>
      </c>
      <c r="B48" s="37">
        <v>45246</v>
      </c>
      <c r="C48" s="38">
        <v>0.58333333333333304</v>
      </c>
      <c r="D48" s="29" t="s">
        <v>141</v>
      </c>
      <c r="E48" s="29" t="s">
        <v>56</v>
      </c>
      <c r="F48" s="29" t="s">
        <v>85</v>
      </c>
      <c r="G48" s="29" t="s">
        <v>76</v>
      </c>
      <c r="H48" s="29" t="s">
        <v>76</v>
      </c>
      <c r="I48" s="29" t="s">
        <v>87</v>
      </c>
      <c r="J48" s="29">
        <v>215</v>
      </c>
      <c r="K48" s="29">
        <v>7</v>
      </c>
      <c r="L48" s="29">
        <v>47.2</v>
      </c>
      <c r="M48" s="29">
        <v>4</v>
      </c>
      <c r="N48" s="29">
        <v>21</v>
      </c>
      <c r="O48" s="29">
        <v>6</v>
      </c>
      <c r="P48" s="29">
        <v>27</v>
      </c>
      <c r="Q48" s="29">
        <v>4.54</v>
      </c>
      <c r="R48" s="29">
        <v>4</v>
      </c>
      <c r="S48" s="29">
        <v>0</v>
      </c>
      <c r="T48" s="29">
        <v>7</v>
      </c>
      <c r="U48" s="29">
        <v>0</v>
      </c>
      <c r="V48" s="29">
        <v>0</v>
      </c>
      <c r="W48" s="29">
        <v>11</v>
      </c>
      <c r="X48" s="29">
        <v>212</v>
      </c>
      <c r="Y48" s="29">
        <v>10</v>
      </c>
      <c r="Z48" s="29">
        <v>49.4</v>
      </c>
      <c r="AA48" s="29">
        <v>1</v>
      </c>
      <c r="AB48" s="29">
        <v>16</v>
      </c>
      <c r="AC48" s="29">
        <v>8</v>
      </c>
      <c r="AD48" s="29">
        <v>24</v>
      </c>
      <c r="AE48" s="29">
        <v>4.26</v>
      </c>
      <c r="AF48" s="29">
        <v>3</v>
      </c>
      <c r="AG48" s="29">
        <v>0</v>
      </c>
      <c r="AH48" s="29">
        <v>12</v>
      </c>
      <c r="AI48" s="29">
        <v>2</v>
      </c>
      <c r="AJ48" s="29">
        <v>0</v>
      </c>
      <c r="AK48" s="29">
        <v>17</v>
      </c>
      <c r="AL48" s="29" t="s">
        <v>85</v>
      </c>
      <c r="AM48" s="29" t="str">
        <f t="shared" si="0"/>
        <v>South Africa</v>
      </c>
      <c r="AN48" s="29" t="s">
        <v>155</v>
      </c>
      <c r="AO48" s="29" t="s">
        <v>140</v>
      </c>
      <c r="AP48" s="29" t="s">
        <v>52</v>
      </c>
      <c r="AQ48" s="29" t="s">
        <v>91</v>
      </c>
      <c r="AR48" s="29" t="s">
        <v>90</v>
      </c>
      <c r="AS48" s="29" t="s">
        <v>54</v>
      </c>
      <c r="AT48" t="str">
        <f t="shared" si="1"/>
        <v>No</v>
      </c>
    </row>
    <row r="49" spans="1:46">
      <c r="A49" s="29">
        <v>48</v>
      </c>
      <c r="B49" s="37">
        <v>45249</v>
      </c>
      <c r="C49" s="38">
        <v>0.58333333333333304</v>
      </c>
      <c r="D49" s="29" t="s">
        <v>44</v>
      </c>
      <c r="E49" s="29" t="s">
        <v>45</v>
      </c>
      <c r="F49" s="29" t="s">
        <v>86</v>
      </c>
      <c r="G49" s="29" t="s">
        <v>85</v>
      </c>
      <c r="H49" s="29" t="s">
        <v>85</v>
      </c>
      <c r="I49" s="29" t="s">
        <v>48</v>
      </c>
      <c r="J49" s="29">
        <v>240</v>
      </c>
      <c r="K49" s="29">
        <v>10</v>
      </c>
      <c r="L49" s="29">
        <v>50</v>
      </c>
      <c r="M49" s="29">
        <v>3</v>
      </c>
      <c r="N49" s="29">
        <v>13</v>
      </c>
      <c r="O49" s="29">
        <v>3</v>
      </c>
      <c r="P49" s="29">
        <v>16</v>
      </c>
      <c r="Q49" s="29">
        <v>4.8</v>
      </c>
      <c r="R49" s="29">
        <v>2</v>
      </c>
      <c r="S49" s="29">
        <v>5</v>
      </c>
      <c r="T49" s="29">
        <v>11</v>
      </c>
      <c r="U49" s="29">
        <v>0</v>
      </c>
      <c r="V49" s="29">
        <v>0</v>
      </c>
      <c r="W49" s="29">
        <v>18</v>
      </c>
      <c r="X49" s="29">
        <v>241</v>
      </c>
      <c r="Y49" s="29">
        <v>4</v>
      </c>
      <c r="Z49" s="29">
        <v>43</v>
      </c>
      <c r="AA49" s="29">
        <v>0</v>
      </c>
      <c r="AB49" s="29">
        <v>22</v>
      </c>
      <c r="AC49" s="29">
        <v>5</v>
      </c>
      <c r="AD49" s="29">
        <v>27</v>
      </c>
      <c r="AE49" s="29">
        <v>5.6</v>
      </c>
      <c r="AF49" s="29">
        <v>3</v>
      </c>
      <c r="AG49" s="29">
        <v>0</v>
      </c>
      <c r="AH49" s="29">
        <v>9</v>
      </c>
      <c r="AI49" s="29">
        <v>0</v>
      </c>
      <c r="AJ49" s="29">
        <v>0</v>
      </c>
      <c r="AK49" s="29">
        <v>12</v>
      </c>
      <c r="AL49" s="29" t="s">
        <v>85</v>
      </c>
      <c r="AM49" s="29" t="str">
        <f t="shared" si="0"/>
        <v>India</v>
      </c>
      <c r="AN49" s="29" t="s">
        <v>69</v>
      </c>
      <c r="AO49" s="29" t="s">
        <v>140</v>
      </c>
      <c r="AP49" s="29" t="s">
        <v>80</v>
      </c>
      <c r="AQ49" s="29" t="s">
        <v>91</v>
      </c>
      <c r="AR49" s="29" t="s">
        <v>71</v>
      </c>
      <c r="AS49" s="29" t="s">
        <v>73</v>
      </c>
      <c r="AT49" t="str">
        <f t="shared" si="1"/>
        <v>yes</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EY97"/>
  <sheetViews>
    <sheetView workbookViewId="0">
      <selection sqref="A1:XFD1048576"/>
    </sheetView>
  </sheetViews>
  <sheetFormatPr defaultColWidth="9" defaultRowHeight="15"/>
  <cols>
    <col min="1" max="1" width="13.42578125" style="28" bestFit="1" customWidth="1"/>
    <col min="2" max="2" width="11.85546875" style="28" customWidth="1"/>
    <col min="3" max="4" width="13" style="28" customWidth="1"/>
    <col min="5" max="5" width="40.85546875" style="28" customWidth="1"/>
    <col min="6" max="6" width="13.42578125" style="28" customWidth="1"/>
    <col min="7" max="7" width="13" style="28" customWidth="1"/>
    <col min="8" max="8" width="13.85546875" style="28" customWidth="1"/>
    <col min="9" max="9" width="5.85546875" style="28" customWidth="1"/>
    <col min="10" max="10" width="13" style="28" customWidth="1"/>
    <col min="11" max="11" width="6.7109375" style="28" customWidth="1"/>
    <col min="12" max="12" width="9.42578125" style="28" customWidth="1"/>
    <col min="13" max="13" width="11.7109375" style="28" customWidth="1"/>
    <col min="14" max="14" width="6.85546875" style="28" customWidth="1"/>
    <col min="15" max="15" width="7.42578125" style="28" customWidth="1"/>
    <col min="16" max="17" width="25.7109375" style="28" customWidth="1"/>
    <col min="18" max="19" width="24" style="29" customWidth="1"/>
    <col min="20" max="16379" width="9" style="28"/>
    <col min="16380" max="16384" width="9" style="29"/>
  </cols>
  <sheetData>
    <row r="1" spans="1:19" s="28" customFormat="1">
      <c r="A1" s="30" t="s">
        <v>0</v>
      </c>
      <c r="B1" s="30" t="s">
        <v>1</v>
      </c>
      <c r="C1" s="30" t="s">
        <v>169</v>
      </c>
      <c r="D1" s="30" t="s">
        <v>170</v>
      </c>
      <c r="E1" s="30" t="s">
        <v>171</v>
      </c>
      <c r="F1" s="30" t="s">
        <v>3</v>
      </c>
      <c r="G1" s="30" t="s">
        <v>7</v>
      </c>
      <c r="H1" s="30" t="s">
        <v>8</v>
      </c>
      <c r="I1" s="30" t="s">
        <v>172</v>
      </c>
      <c r="J1" s="30" t="s">
        <v>173</v>
      </c>
      <c r="K1" s="30" t="s">
        <v>174</v>
      </c>
      <c r="L1" s="30" t="s">
        <v>175</v>
      </c>
      <c r="M1" s="30" t="s">
        <v>176</v>
      </c>
      <c r="N1" s="30" t="s">
        <v>177</v>
      </c>
      <c r="O1" s="30" t="s">
        <v>178</v>
      </c>
      <c r="P1" s="30" t="s">
        <v>179</v>
      </c>
      <c r="Q1" s="30" t="s">
        <v>39</v>
      </c>
      <c r="R1" s="31" t="s">
        <v>180</v>
      </c>
      <c r="S1" s="32" t="s">
        <v>181</v>
      </c>
    </row>
    <row r="2" spans="1:19" s="28" customFormat="1">
      <c r="A2" s="33">
        <v>1</v>
      </c>
      <c r="B2" s="34" t="s">
        <v>182</v>
      </c>
      <c r="C2" s="35" t="s">
        <v>46</v>
      </c>
      <c r="D2" s="35" t="s">
        <v>47</v>
      </c>
      <c r="E2" s="35" t="s">
        <v>45</v>
      </c>
      <c r="F2" s="35" t="s">
        <v>44</v>
      </c>
      <c r="G2" s="35" t="s">
        <v>47</v>
      </c>
      <c r="H2" s="35" t="s">
        <v>48</v>
      </c>
      <c r="I2" s="35">
        <v>282</v>
      </c>
      <c r="J2" s="35">
        <v>9</v>
      </c>
      <c r="K2" s="35">
        <v>50</v>
      </c>
      <c r="L2" s="35">
        <v>5.64</v>
      </c>
      <c r="M2" s="35">
        <v>27</v>
      </c>
      <c r="N2" s="35">
        <v>8</v>
      </c>
      <c r="O2" s="35" t="s">
        <v>183</v>
      </c>
      <c r="P2" s="35" t="str">
        <f t="shared" ref="P2:P33" si="0">IF(O2="Win",C2,D2)</f>
        <v>NewZealand</v>
      </c>
      <c r="Q2" s="35" t="s">
        <v>50</v>
      </c>
      <c r="R2" s="36" t="s">
        <v>47</v>
      </c>
      <c r="S2" s="35" t="str">
        <f t="shared" ref="S2:S33" si="1">IF(G2=P2,G2,"No")</f>
        <v>NewZealand</v>
      </c>
    </row>
    <row r="3" spans="1:19" s="28" customFormat="1">
      <c r="A3" s="33">
        <v>2</v>
      </c>
      <c r="B3" s="34" t="s">
        <v>182</v>
      </c>
      <c r="C3" s="35" t="s">
        <v>47</v>
      </c>
      <c r="D3" s="35" t="s">
        <v>46</v>
      </c>
      <c r="E3" s="35" t="s">
        <v>45</v>
      </c>
      <c r="F3" s="35" t="s">
        <v>44</v>
      </c>
      <c r="G3" s="35" t="s">
        <v>47</v>
      </c>
      <c r="H3" s="35" t="s">
        <v>48</v>
      </c>
      <c r="I3" s="35">
        <v>283</v>
      </c>
      <c r="J3" s="35">
        <v>1</v>
      </c>
      <c r="K3" s="35">
        <v>36.200000000000003</v>
      </c>
      <c r="L3" s="35">
        <v>7.78</v>
      </c>
      <c r="M3" s="35">
        <v>38</v>
      </c>
      <c r="N3" s="35">
        <v>6</v>
      </c>
      <c r="O3" s="35" t="s">
        <v>184</v>
      </c>
      <c r="P3" s="35" t="str">
        <f t="shared" si="0"/>
        <v>NewZealand</v>
      </c>
      <c r="Q3" s="35" t="s">
        <v>50</v>
      </c>
      <c r="R3" s="36" t="s">
        <v>47</v>
      </c>
      <c r="S3" s="35" t="str">
        <f t="shared" si="1"/>
        <v>NewZealand</v>
      </c>
    </row>
    <row r="4" spans="1:19" s="28" customFormat="1">
      <c r="A4" s="33">
        <v>3</v>
      </c>
      <c r="B4" s="34" t="s">
        <v>185</v>
      </c>
      <c r="C4" s="35" t="s">
        <v>57</v>
      </c>
      <c r="D4" s="35" t="s">
        <v>58</v>
      </c>
      <c r="E4" s="35" t="s">
        <v>56</v>
      </c>
      <c r="F4" s="35" t="s">
        <v>55</v>
      </c>
      <c r="G4" s="35" t="s">
        <v>58</v>
      </c>
      <c r="H4" s="35" t="s">
        <v>48</v>
      </c>
      <c r="I4" s="35">
        <v>286</v>
      </c>
      <c r="J4" s="35">
        <v>10</v>
      </c>
      <c r="K4" s="35">
        <v>49</v>
      </c>
      <c r="L4" s="35">
        <v>5.83</v>
      </c>
      <c r="M4" s="35">
        <v>36</v>
      </c>
      <c r="N4" s="35">
        <v>9</v>
      </c>
      <c r="O4" s="35" t="s">
        <v>184</v>
      </c>
      <c r="P4" s="35" t="str">
        <f t="shared" si="0"/>
        <v>Pakistan</v>
      </c>
      <c r="Q4" s="35" t="s">
        <v>60</v>
      </c>
      <c r="R4" s="36" t="s">
        <v>57</v>
      </c>
      <c r="S4" s="35" t="str">
        <f t="shared" si="1"/>
        <v>No</v>
      </c>
    </row>
    <row r="5" spans="1:19" s="28" customFormat="1">
      <c r="A5" s="33">
        <v>4</v>
      </c>
      <c r="B5" s="34" t="s">
        <v>185</v>
      </c>
      <c r="C5" s="35" t="s">
        <v>58</v>
      </c>
      <c r="D5" s="35" t="s">
        <v>57</v>
      </c>
      <c r="E5" s="35" t="s">
        <v>56</v>
      </c>
      <c r="F5" s="35" t="s">
        <v>55</v>
      </c>
      <c r="G5" s="35" t="s">
        <v>58</v>
      </c>
      <c r="H5" s="35" t="s">
        <v>48</v>
      </c>
      <c r="I5" s="35">
        <v>205</v>
      </c>
      <c r="J5" s="35">
        <v>10</v>
      </c>
      <c r="K5" s="35">
        <v>41</v>
      </c>
      <c r="L5" s="35">
        <v>5</v>
      </c>
      <c r="M5" s="35">
        <v>24</v>
      </c>
      <c r="N5" s="35">
        <v>9</v>
      </c>
      <c r="O5" s="35" t="s">
        <v>183</v>
      </c>
      <c r="P5" s="35" t="str">
        <f t="shared" si="0"/>
        <v>Pakistan</v>
      </c>
      <c r="Q5" s="35" t="s">
        <v>60</v>
      </c>
      <c r="R5" s="36" t="s">
        <v>57</v>
      </c>
      <c r="S5" s="35" t="str">
        <f t="shared" si="1"/>
        <v>No</v>
      </c>
    </row>
    <row r="6" spans="1:19" s="28" customFormat="1">
      <c r="A6" s="33">
        <v>5</v>
      </c>
      <c r="B6" s="34" t="s">
        <v>186</v>
      </c>
      <c r="C6" s="35" t="s">
        <v>67</v>
      </c>
      <c r="D6" s="35" t="s">
        <v>68</v>
      </c>
      <c r="E6" s="35" t="s">
        <v>66</v>
      </c>
      <c r="F6" s="35" t="s">
        <v>65</v>
      </c>
      <c r="G6" s="35" t="s">
        <v>68</v>
      </c>
      <c r="H6" s="35" t="s">
        <v>48</v>
      </c>
      <c r="I6" s="35">
        <v>156</v>
      </c>
      <c r="J6" s="35">
        <v>10</v>
      </c>
      <c r="K6" s="35">
        <v>37.200000000000003</v>
      </c>
      <c r="L6" s="35">
        <v>4.17</v>
      </c>
      <c r="M6" s="35">
        <v>17</v>
      </c>
      <c r="N6" s="35">
        <v>8</v>
      </c>
      <c r="O6" s="35" t="s">
        <v>183</v>
      </c>
      <c r="P6" s="35" t="str">
        <f t="shared" si="0"/>
        <v>Bangladesh</v>
      </c>
      <c r="Q6" s="35" t="s">
        <v>70</v>
      </c>
      <c r="R6" s="36" t="s">
        <v>68</v>
      </c>
      <c r="S6" s="35" t="str">
        <f t="shared" si="1"/>
        <v>Bangladesh</v>
      </c>
    </row>
    <row r="7" spans="1:19" s="28" customFormat="1">
      <c r="A7" s="33">
        <v>6</v>
      </c>
      <c r="B7" s="34" t="s">
        <v>186</v>
      </c>
      <c r="C7" s="35" t="s">
        <v>68</v>
      </c>
      <c r="D7" s="35" t="s">
        <v>67</v>
      </c>
      <c r="E7" s="35" t="s">
        <v>66</v>
      </c>
      <c r="F7" s="35" t="s">
        <v>65</v>
      </c>
      <c r="G7" s="35" t="s">
        <v>68</v>
      </c>
      <c r="H7" s="35" t="s">
        <v>48</v>
      </c>
      <c r="I7" s="35">
        <v>158</v>
      </c>
      <c r="J7" s="35">
        <v>4</v>
      </c>
      <c r="K7" s="35">
        <v>34.4</v>
      </c>
      <c r="L7" s="35">
        <v>4.55</v>
      </c>
      <c r="M7" s="35">
        <v>14</v>
      </c>
      <c r="N7" s="35">
        <v>8</v>
      </c>
      <c r="O7" s="35" t="s">
        <v>184</v>
      </c>
      <c r="P7" s="35" t="str">
        <f t="shared" si="0"/>
        <v>Bangladesh</v>
      </c>
      <c r="Q7" s="35" t="s">
        <v>70</v>
      </c>
      <c r="R7" s="36" t="s">
        <v>68</v>
      </c>
      <c r="S7" s="35" t="str">
        <f t="shared" si="1"/>
        <v>Bangladesh</v>
      </c>
    </row>
    <row r="8" spans="1:19" s="28" customFormat="1">
      <c r="A8" s="33">
        <v>7</v>
      </c>
      <c r="B8" s="34" t="s">
        <v>186</v>
      </c>
      <c r="C8" s="35" t="s">
        <v>76</v>
      </c>
      <c r="D8" s="35" t="s">
        <v>77</v>
      </c>
      <c r="E8" s="35" t="s">
        <v>75</v>
      </c>
      <c r="F8" s="35" t="s">
        <v>74</v>
      </c>
      <c r="G8" s="35" t="s">
        <v>77</v>
      </c>
      <c r="H8" s="35" t="s">
        <v>48</v>
      </c>
      <c r="I8" s="35">
        <v>428</v>
      </c>
      <c r="J8" s="35">
        <v>5</v>
      </c>
      <c r="K8" s="35">
        <v>50</v>
      </c>
      <c r="L8" s="35">
        <v>8.56</v>
      </c>
      <c r="M8" s="35">
        <v>59</v>
      </c>
      <c r="N8" s="35">
        <v>20</v>
      </c>
      <c r="O8" s="35" t="s">
        <v>184</v>
      </c>
      <c r="P8" s="35" t="str">
        <f t="shared" si="0"/>
        <v>South Africa</v>
      </c>
      <c r="Q8" s="35" t="s">
        <v>79</v>
      </c>
      <c r="R8" s="36" t="s">
        <v>76</v>
      </c>
      <c r="S8" s="35" t="str">
        <f t="shared" si="1"/>
        <v>No</v>
      </c>
    </row>
    <row r="9" spans="1:19" s="28" customFormat="1">
      <c r="A9" s="33">
        <v>8</v>
      </c>
      <c r="B9" s="34" t="s">
        <v>186</v>
      </c>
      <c r="C9" s="35" t="s">
        <v>77</v>
      </c>
      <c r="D9" s="35" t="s">
        <v>76</v>
      </c>
      <c r="E9" s="35" t="s">
        <v>75</v>
      </c>
      <c r="F9" s="35" t="s">
        <v>74</v>
      </c>
      <c r="G9" s="35" t="s">
        <v>77</v>
      </c>
      <c r="H9" s="35" t="s">
        <v>48</v>
      </c>
      <c r="I9" s="35">
        <v>326</v>
      </c>
      <c r="J9" s="35">
        <v>10</v>
      </c>
      <c r="K9" s="35">
        <v>44.5</v>
      </c>
      <c r="L9" s="35">
        <v>7.27</v>
      </c>
      <c r="M9" s="35">
        <v>48</v>
      </c>
      <c r="N9" s="35">
        <v>23</v>
      </c>
      <c r="O9" s="35" t="s">
        <v>183</v>
      </c>
      <c r="P9" s="35" t="str">
        <f t="shared" si="0"/>
        <v>South Africa</v>
      </c>
      <c r="Q9" s="35" t="s">
        <v>79</v>
      </c>
      <c r="R9" s="36" t="s">
        <v>76</v>
      </c>
      <c r="S9" s="35" t="str">
        <f t="shared" si="1"/>
        <v>No</v>
      </c>
    </row>
    <row r="10" spans="1:19" s="28" customFormat="1">
      <c r="A10" s="33">
        <v>9</v>
      </c>
      <c r="B10" s="34" t="s">
        <v>187</v>
      </c>
      <c r="C10" s="35" t="s">
        <v>85</v>
      </c>
      <c r="D10" s="35" t="s">
        <v>86</v>
      </c>
      <c r="E10" s="35" t="s">
        <v>84</v>
      </c>
      <c r="F10" s="35" t="s">
        <v>83</v>
      </c>
      <c r="G10" s="35" t="s">
        <v>85</v>
      </c>
      <c r="H10" s="35" t="s">
        <v>87</v>
      </c>
      <c r="I10" s="35">
        <v>199</v>
      </c>
      <c r="J10" s="35">
        <v>10</v>
      </c>
      <c r="K10" s="35">
        <v>49.3</v>
      </c>
      <c r="L10" s="35">
        <v>4.0199999999999996</v>
      </c>
      <c r="M10" s="35">
        <v>18</v>
      </c>
      <c r="N10" s="35">
        <v>8</v>
      </c>
      <c r="O10" s="35" t="s">
        <v>183</v>
      </c>
      <c r="P10" s="35" t="str">
        <f t="shared" si="0"/>
        <v>India</v>
      </c>
      <c r="Q10" s="35" t="s">
        <v>89</v>
      </c>
      <c r="R10" s="36" t="s">
        <v>86</v>
      </c>
      <c r="S10" s="35" t="str">
        <f t="shared" si="1"/>
        <v>No</v>
      </c>
    </row>
    <row r="11" spans="1:19" s="28" customFormat="1">
      <c r="A11" s="33">
        <v>10</v>
      </c>
      <c r="B11" s="34" t="s">
        <v>187</v>
      </c>
      <c r="C11" s="35" t="s">
        <v>86</v>
      </c>
      <c r="D11" s="35" t="s">
        <v>85</v>
      </c>
      <c r="E11" s="35" t="s">
        <v>84</v>
      </c>
      <c r="F11" s="35" t="s">
        <v>83</v>
      </c>
      <c r="G11" s="35" t="s">
        <v>85</v>
      </c>
      <c r="H11" s="35" t="s">
        <v>87</v>
      </c>
      <c r="I11" s="35">
        <v>201</v>
      </c>
      <c r="J11" s="35">
        <v>4</v>
      </c>
      <c r="K11" s="35">
        <v>41.2</v>
      </c>
      <c r="L11" s="35">
        <v>4.8600000000000003</v>
      </c>
      <c r="M11" s="35">
        <v>17</v>
      </c>
      <c r="N11" s="35">
        <v>12</v>
      </c>
      <c r="O11" s="35" t="s">
        <v>184</v>
      </c>
      <c r="P11" s="35" t="str">
        <f t="shared" si="0"/>
        <v>India</v>
      </c>
      <c r="Q11" s="35" t="s">
        <v>89</v>
      </c>
      <c r="R11" s="36" t="s">
        <v>86</v>
      </c>
      <c r="S11" s="35" t="str">
        <f t="shared" si="1"/>
        <v>No</v>
      </c>
    </row>
    <row r="12" spans="1:19" s="28" customFormat="1">
      <c r="A12" s="33">
        <v>11</v>
      </c>
      <c r="B12" s="34" t="s">
        <v>188</v>
      </c>
      <c r="C12" s="35" t="s">
        <v>47</v>
      </c>
      <c r="D12" s="35" t="s">
        <v>58</v>
      </c>
      <c r="E12" s="35" t="s">
        <v>93</v>
      </c>
      <c r="F12" s="35" t="s">
        <v>55</v>
      </c>
      <c r="G12" s="35" t="s">
        <v>58</v>
      </c>
      <c r="H12" s="35" t="s">
        <v>48</v>
      </c>
      <c r="I12" s="35">
        <v>322</v>
      </c>
      <c r="J12" s="35">
        <v>7</v>
      </c>
      <c r="K12" s="35">
        <v>50</v>
      </c>
      <c r="L12" s="35">
        <v>6.44</v>
      </c>
      <c r="M12" s="35">
        <v>40</v>
      </c>
      <c r="N12" s="35">
        <v>4</v>
      </c>
      <c r="O12" s="35" t="s">
        <v>184</v>
      </c>
      <c r="P12" s="35" t="str">
        <f t="shared" si="0"/>
        <v>NewZealand</v>
      </c>
      <c r="Q12" s="35" t="s">
        <v>95</v>
      </c>
      <c r="R12" s="36" t="s">
        <v>47</v>
      </c>
      <c r="S12" s="35" t="str">
        <f t="shared" si="1"/>
        <v>No</v>
      </c>
    </row>
    <row r="13" spans="1:19" s="28" customFormat="1">
      <c r="A13" s="33">
        <v>12</v>
      </c>
      <c r="B13" s="34" t="s">
        <v>188</v>
      </c>
      <c r="C13" s="35" t="s">
        <v>58</v>
      </c>
      <c r="D13" s="35" t="s">
        <v>47</v>
      </c>
      <c r="E13" s="35" t="s">
        <v>93</v>
      </c>
      <c r="F13" s="35" t="s">
        <v>55</v>
      </c>
      <c r="G13" s="35" t="s">
        <v>58</v>
      </c>
      <c r="H13" s="35" t="s">
        <v>48</v>
      </c>
      <c r="I13" s="35">
        <v>223</v>
      </c>
      <c r="J13" s="35">
        <v>10</v>
      </c>
      <c r="K13" s="35">
        <v>46.3</v>
      </c>
      <c r="L13" s="35">
        <v>4.79</v>
      </c>
      <c r="M13" s="35">
        <v>22</v>
      </c>
      <c r="N13" s="35">
        <v>13</v>
      </c>
      <c r="O13" s="35" t="s">
        <v>183</v>
      </c>
      <c r="P13" s="35" t="str">
        <f t="shared" si="0"/>
        <v>NewZealand</v>
      </c>
      <c r="Q13" s="35" t="s">
        <v>95</v>
      </c>
      <c r="R13" s="36" t="s">
        <v>47</v>
      </c>
      <c r="S13" s="35" t="str">
        <f t="shared" si="1"/>
        <v>No</v>
      </c>
    </row>
    <row r="14" spans="1:19" s="28" customFormat="1">
      <c r="A14" s="33">
        <v>13</v>
      </c>
      <c r="B14" s="34" t="s">
        <v>189</v>
      </c>
      <c r="C14" s="35" t="s">
        <v>46</v>
      </c>
      <c r="D14" s="35" t="s">
        <v>68</v>
      </c>
      <c r="E14" s="35" t="s">
        <v>66</v>
      </c>
      <c r="F14" s="35" t="s">
        <v>65</v>
      </c>
      <c r="G14" s="35" t="s">
        <v>68</v>
      </c>
      <c r="H14" s="35" t="s">
        <v>48</v>
      </c>
      <c r="I14" s="35">
        <v>364</v>
      </c>
      <c r="J14" s="35">
        <v>9</v>
      </c>
      <c r="K14" s="35">
        <v>50</v>
      </c>
      <c r="L14" s="35">
        <v>7.28</v>
      </c>
      <c r="M14" s="35">
        <v>48</v>
      </c>
      <c r="N14" s="35">
        <v>7</v>
      </c>
      <c r="O14" s="35" t="s">
        <v>184</v>
      </c>
      <c r="P14" s="35" t="str">
        <f t="shared" si="0"/>
        <v>England</v>
      </c>
      <c r="Q14" s="35" t="s">
        <v>98</v>
      </c>
      <c r="R14" s="36" t="s">
        <v>46</v>
      </c>
      <c r="S14" s="35" t="str">
        <f t="shared" si="1"/>
        <v>No</v>
      </c>
    </row>
    <row r="15" spans="1:19" s="28" customFormat="1">
      <c r="A15" s="33">
        <v>14</v>
      </c>
      <c r="B15" s="34" t="s">
        <v>189</v>
      </c>
      <c r="C15" s="35" t="s">
        <v>68</v>
      </c>
      <c r="D15" s="35" t="s">
        <v>46</v>
      </c>
      <c r="E15" s="35" t="s">
        <v>66</v>
      </c>
      <c r="F15" s="35" t="s">
        <v>65</v>
      </c>
      <c r="G15" s="35" t="s">
        <v>68</v>
      </c>
      <c r="H15" s="35" t="s">
        <v>48</v>
      </c>
      <c r="I15" s="35">
        <v>227</v>
      </c>
      <c r="J15" s="35">
        <v>10</v>
      </c>
      <c r="K15" s="35">
        <v>48.2</v>
      </c>
      <c r="L15" s="35">
        <v>4.6900000000000004</v>
      </c>
      <c r="M15" s="35">
        <v>20</v>
      </c>
      <c r="N15" s="35">
        <v>7</v>
      </c>
      <c r="O15" s="35" t="s">
        <v>183</v>
      </c>
      <c r="P15" s="35" t="str">
        <f t="shared" si="0"/>
        <v>England</v>
      </c>
      <c r="Q15" s="35" t="s">
        <v>98</v>
      </c>
      <c r="R15" s="36" t="s">
        <v>46</v>
      </c>
      <c r="S15" s="35" t="str">
        <f t="shared" si="1"/>
        <v>No</v>
      </c>
    </row>
    <row r="16" spans="1:19" s="28" customFormat="1">
      <c r="A16" s="33">
        <v>15</v>
      </c>
      <c r="B16" s="34" t="s">
        <v>189</v>
      </c>
      <c r="C16" s="35" t="s">
        <v>77</v>
      </c>
      <c r="D16" s="35" t="s">
        <v>57</v>
      </c>
      <c r="E16" s="35" t="s">
        <v>93</v>
      </c>
      <c r="F16" s="35" t="s">
        <v>55</v>
      </c>
      <c r="G16" s="35" t="s">
        <v>77</v>
      </c>
      <c r="H16" s="35" t="s">
        <v>87</v>
      </c>
      <c r="I16" s="35">
        <v>344</v>
      </c>
      <c r="J16" s="35">
        <v>9</v>
      </c>
      <c r="K16" s="35">
        <v>50</v>
      </c>
      <c r="L16" s="35">
        <v>6.88</v>
      </c>
      <c r="M16" s="35">
        <v>45</v>
      </c>
      <c r="N16" s="35">
        <v>26</v>
      </c>
      <c r="O16" s="35" t="s">
        <v>183</v>
      </c>
      <c r="P16" s="35" t="str">
        <f t="shared" si="0"/>
        <v>Pakistan</v>
      </c>
      <c r="Q16" s="35" t="s">
        <v>99</v>
      </c>
      <c r="R16" s="36" t="s">
        <v>57</v>
      </c>
      <c r="S16" s="35" t="str">
        <f t="shared" si="1"/>
        <v>No</v>
      </c>
    </row>
    <row r="17" spans="1:19" s="28" customFormat="1">
      <c r="A17" s="33">
        <v>16</v>
      </c>
      <c r="B17" s="34" t="s">
        <v>189</v>
      </c>
      <c r="C17" s="35" t="s">
        <v>57</v>
      </c>
      <c r="D17" s="35" t="s">
        <v>77</v>
      </c>
      <c r="E17" s="35" t="s">
        <v>93</v>
      </c>
      <c r="F17" s="35" t="s">
        <v>55</v>
      </c>
      <c r="G17" s="35" t="s">
        <v>77</v>
      </c>
      <c r="H17" s="35" t="s">
        <v>87</v>
      </c>
      <c r="I17" s="35">
        <v>345</v>
      </c>
      <c r="J17" s="35">
        <v>4</v>
      </c>
      <c r="K17" s="35">
        <v>48.2</v>
      </c>
      <c r="L17" s="35">
        <v>7.13</v>
      </c>
      <c r="M17" s="35">
        <v>32</v>
      </c>
      <c r="N17" s="35">
        <v>14</v>
      </c>
      <c r="O17" s="35" t="s">
        <v>184</v>
      </c>
      <c r="P17" s="35" t="str">
        <f t="shared" si="0"/>
        <v>Pakistan</v>
      </c>
      <c r="Q17" s="35" t="s">
        <v>99</v>
      </c>
      <c r="R17" s="36" t="s">
        <v>57</v>
      </c>
      <c r="S17" s="35" t="str">
        <f t="shared" si="1"/>
        <v>No</v>
      </c>
    </row>
    <row r="18" spans="1:19" s="28" customFormat="1">
      <c r="A18" s="33">
        <v>17</v>
      </c>
      <c r="B18" s="34" t="s">
        <v>190</v>
      </c>
      <c r="C18" s="35" t="s">
        <v>67</v>
      </c>
      <c r="D18" s="35" t="s">
        <v>86</v>
      </c>
      <c r="E18" s="35" t="s">
        <v>75</v>
      </c>
      <c r="F18" s="35" t="s">
        <v>74</v>
      </c>
      <c r="G18" s="35" t="s">
        <v>67</v>
      </c>
      <c r="H18" s="35" t="s">
        <v>87</v>
      </c>
      <c r="I18" s="35">
        <v>272</v>
      </c>
      <c r="J18" s="35">
        <v>8</v>
      </c>
      <c r="K18" s="35">
        <v>50</v>
      </c>
      <c r="L18" s="35">
        <v>5.44</v>
      </c>
      <c r="M18" s="35">
        <v>32</v>
      </c>
      <c r="N18" s="35">
        <v>15</v>
      </c>
      <c r="O18" s="35" t="s">
        <v>183</v>
      </c>
      <c r="P18" s="35" t="str">
        <f t="shared" si="0"/>
        <v>India</v>
      </c>
      <c r="Q18" s="35" t="s">
        <v>102</v>
      </c>
      <c r="R18" s="36" t="s">
        <v>86</v>
      </c>
      <c r="S18" s="35" t="str">
        <f t="shared" si="1"/>
        <v>No</v>
      </c>
    </row>
    <row r="19" spans="1:19" s="28" customFormat="1">
      <c r="A19" s="33">
        <v>18</v>
      </c>
      <c r="B19" s="34" t="s">
        <v>190</v>
      </c>
      <c r="C19" s="35" t="s">
        <v>86</v>
      </c>
      <c r="D19" s="35" t="s">
        <v>67</v>
      </c>
      <c r="E19" s="35" t="s">
        <v>75</v>
      </c>
      <c r="F19" s="35" t="s">
        <v>74</v>
      </c>
      <c r="G19" s="35" t="s">
        <v>67</v>
      </c>
      <c r="H19" s="35" t="s">
        <v>87</v>
      </c>
      <c r="I19" s="35">
        <v>273</v>
      </c>
      <c r="J19" s="35">
        <v>2</v>
      </c>
      <c r="K19" s="35">
        <v>35</v>
      </c>
      <c r="L19" s="35">
        <v>7.8</v>
      </c>
      <c r="M19" s="35">
        <v>36</v>
      </c>
      <c r="N19" s="35">
        <v>15</v>
      </c>
      <c r="O19" s="35" t="s">
        <v>184</v>
      </c>
      <c r="P19" s="35" t="str">
        <f t="shared" si="0"/>
        <v>India</v>
      </c>
      <c r="Q19" s="35" t="s">
        <v>102</v>
      </c>
      <c r="R19" s="36" t="s">
        <v>86</v>
      </c>
      <c r="S19" s="35" t="str">
        <f t="shared" si="1"/>
        <v>No</v>
      </c>
    </row>
    <row r="20" spans="1:19" s="28" customFormat="1">
      <c r="A20" s="33">
        <v>19</v>
      </c>
      <c r="B20" s="34" t="s">
        <v>191</v>
      </c>
      <c r="C20" s="35" t="s">
        <v>76</v>
      </c>
      <c r="D20" s="35" t="s">
        <v>85</v>
      </c>
      <c r="E20" s="35" t="s">
        <v>105</v>
      </c>
      <c r="F20" s="35" t="s">
        <v>104</v>
      </c>
      <c r="G20" s="35" t="s">
        <v>85</v>
      </c>
      <c r="H20" s="35" t="s">
        <v>48</v>
      </c>
      <c r="I20" s="35">
        <v>311</v>
      </c>
      <c r="J20" s="35">
        <v>7</v>
      </c>
      <c r="K20" s="35">
        <v>50</v>
      </c>
      <c r="L20" s="35">
        <v>6.22</v>
      </c>
      <c r="M20" s="35">
        <v>34</v>
      </c>
      <c r="N20" s="35">
        <v>17</v>
      </c>
      <c r="O20" s="35" t="s">
        <v>184</v>
      </c>
      <c r="P20" s="35" t="str">
        <f t="shared" si="0"/>
        <v>South Africa</v>
      </c>
      <c r="Q20" s="35" t="s">
        <v>107</v>
      </c>
      <c r="R20" s="36" t="s">
        <v>76</v>
      </c>
      <c r="S20" s="35" t="str">
        <f t="shared" si="1"/>
        <v>No</v>
      </c>
    </row>
    <row r="21" spans="1:19" s="28" customFormat="1">
      <c r="A21" s="33">
        <v>20</v>
      </c>
      <c r="B21" s="34" t="s">
        <v>191</v>
      </c>
      <c r="C21" s="35" t="s">
        <v>85</v>
      </c>
      <c r="D21" s="35" t="s">
        <v>76</v>
      </c>
      <c r="E21" s="35" t="s">
        <v>105</v>
      </c>
      <c r="F21" s="35" t="s">
        <v>104</v>
      </c>
      <c r="G21" s="35" t="s">
        <v>85</v>
      </c>
      <c r="H21" s="35" t="s">
        <v>48</v>
      </c>
      <c r="I21" s="35">
        <v>177</v>
      </c>
      <c r="J21" s="35">
        <v>10</v>
      </c>
      <c r="K21" s="35">
        <v>40.5</v>
      </c>
      <c r="L21" s="35">
        <v>4.33</v>
      </c>
      <c r="M21" s="35">
        <v>19</v>
      </c>
      <c r="N21" s="35">
        <v>13</v>
      </c>
      <c r="O21" s="35" t="s">
        <v>183</v>
      </c>
      <c r="P21" s="35" t="str">
        <f t="shared" si="0"/>
        <v>South Africa</v>
      </c>
      <c r="Q21" s="35" t="s">
        <v>107</v>
      </c>
      <c r="R21" s="36" t="s">
        <v>76</v>
      </c>
      <c r="S21" s="35" t="str">
        <f t="shared" si="1"/>
        <v>No</v>
      </c>
    </row>
    <row r="22" spans="1:19" s="28" customFormat="1">
      <c r="A22" s="33">
        <v>21</v>
      </c>
      <c r="B22" s="34" t="s">
        <v>192</v>
      </c>
      <c r="C22" s="35" t="s">
        <v>68</v>
      </c>
      <c r="D22" s="35" t="s">
        <v>47</v>
      </c>
      <c r="E22" s="35" t="s">
        <v>84</v>
      </c>
      <c r="F22" s="35" t="s">
        <v>83</v>
      </c>
      <c r="G22" s="35" t="s">
        <v>47</v>
      </c>
      <c r="H22" s="35" t="s">
        <v>48</v>
      </c>
      <c r="I22" s="35">
        <v>245</v>
      </c>
      <c r="J22" s="35">
        <v>9</v>
      </c>
      <c r="K22" s="35">
        <v>50</v>
      </c>
      <c r="L22" s="35">
        <v>4.9000000000000004</v>
      </c>
      <c r="M22" s="35">
        <v>28</v>
      </c>
      <c r="N22" s="35">
        <v>11</v>
      </c>
      <c r="O22" s="35" t="s">
        <v>183</v>
      </c>
      <c r="P22" s="35" t="str">
        <f t="shared" si="0"/>
        <v>NewZealand</v>
      </c>
      <c r="Q22" s="35" t="s">
        <v>108</v>
      </c>
      <c r="R22" s="36" t="s">
        <v>47</v>
      </c>
      <c r="S22" s="35" t="str">
        <f t="shared" si="1"/>
        <v>NewZealand</v>
      </c>
    </row>
    <row r="23" spans="1:19" s="28" customFormat="1">
      <c r="A23" s="33">
        <v>22</v>
      </c>
      <c r="B23" s="34" t="s">
        <v>192</v>
      </c>
      <c r="C23" s="35" t="s">
        <v>47</v>
      </c>
      <c r="D23" s="35" t="s">
        <v>68</v>
      </c>
      <c r="E23" s="35" t="s">
        <v>84</v>
      </c>
      <c r="F23" s="35" t="s">
        <v>83</v>
      </c>
      <c r="G23" s="35" t="s">
        <v>47</v>
      </c>
      <c r="H23" s="35" t="s">
        <v>48</v>
      </c>
      <c r="I23" s="35">
        <v>248</v>
      </c>
      <c r="J23" s="35">
        <v>2</v>
      </c>
      <c r="K23" s="35">
        <v>42.5</v>
      </c>
      <c r="L23" s="35">
        <v>5.78</v>
      </c>
      <c r="M23" s="35">
        <v>26</v>
      </c>
      <c r="N23" s="35">
        <v>9</v>
      </c>
      <c r="O23" s="35" t="s">
        <v>184</v>
      </c>
      <c r="P23" s="35" t="str">
        <f t="shared" si="0"/>
        <v>NewZealand</v>
      </c>
      <c r="Q23" s="35" t="s">
        <v>108</v>
      </c>
      <c r="R23" s="36" t="s">
        <v>47</v>
      </c>
      <c r="S23" s="35" t="str">
        <f t="shared" si="1"/>
        <v>NewZealand</v>
      </c>
    </row>
    <row r="24" spans="1:19" s="28" customFormat="1">
      <c r="A24" s="33">
        <v>23</v>
      </c>
      <c r="B24" s="34" t="s">
        <v>193</v>
      </c>
      <c r="C24" s="35" t="s">
        <v>57</v>
      </c>
      <c r="D24" s="35" t="s">
        <v>86</v>
      </c>
      <c r="E24" s="35" t="s">
        <v>45</v>
      </c>
      <c r="F24" s="35" t="s">
        <v>44</v>
      </c>
      <c r="G24" s="35" t="s">
        <v>86</v>
      </c>
      <c r="H24" s="35" t="s">
        <v>48</v>
      </c>
      <c r="I24" s="35">
        <v>191</v>
      </c>
      <c r="J24" s="35">
        <v>10</v>
      </c>
      <c r="K24" s="35">
        <v>42.5</v>
      </c>
      <c r="L24" s="35">
        <v>4.45</v>
      </c>
      <c r="M24" s="35">
        <v>26</v>
      </c>
      <c r="N24" s="35">
        <v>6</v>
      </c>
      <c r="O24" s="35" t="s">
        <v>183</v>
      </c>
      <c r="P24" s="35" t="str">
        <f t="shared" si="0"/>
        <v>India</v>
      </c>
      <c r="Q24" s="35" t="s">
        <v>110</v>
      </c>
      <c r="R24" s="36" t="s">
        <v>86</v>
      </c>
      <c r="S24" s="35" t="str">
        <f t="shared" si="1"/>
        <v>India</v>
      </c>
    </row>
    <row r="25" spans="1:19" s="28" customFormat="1">
      <c r="A25" s="33">
        <v>24</v>
      </c>
      <c r="B25" s="34" t="s">
        <v>193</v>
      </c>
      <c r="C25" s="35" t="s">
        <v>86</v>
      </c>
      <c r="D25" s="35" t="s">
        <v>57</v>
      </c>
      <c r="E25" s="35" t="s">
        <v>45</v>
      </c>
      <c r="F25" s="35" t="s">
        <v>44</v>
      </c>
      <c r="G25" s="35" t="s">
        <v>86</v>
      </c>
      <c r="H25" s="35" t="s">
        <v>48</v>
      </c>
      <c r="I25" s="35">
        <v>192</v>
      </c>
      <c r="J25" s="35">
        <v>3</v>
      </c>
      <c r="K25" s="35">
        <v>30.3</v>
      </c>
      <c r="L25" s="35">
        <v>6.29</v>
      </c>
      <c r="M25" s="35">
        <v>25</v>
      </c>
      <c r="N25" s="35">
        <v>4</v>
      </c>
      <c r="O25" s="35" t="s">
        <v>184</v>
      </c>
      <c r="P25" s="35" t="str">
        <f t="shared" si="0"/>
        <v>India</v>
      </c>
      <c r="Q25" s="35" t="s">
        <v>110</v>
      </c>
      <c r="R25" s="36" t="s">
        <v>86</v>
      </c>
      <c r="S25" s="35" t="str">
        <f t="shared" si="1"/>
        <v>India</v>
      </c>
    </row>
    <row r="26" spans="1:19" s="28" customFormat="1">
      <c r="A26" s="33">
        <v>25</v>
      </c>
      <c r="B26" s="34" t="s">
        <v>194</v>
      </c>
      <c r="C26" s="35" t="s">
        <v>67</v>
      </c>
      <c r="D26" s="35" t="s">
        <v>46</v>
      </c>
      <c r="E26" s="35" t="s">
        <v>75</v>
      </c>
      <c r="F26" s="35" t="s">
        <v>74</v>
      </c>
      <c r="G26" s="35" t="s">
        <v>46</v>
      </c>
      <c r="H26" s="35" t="s">
        <v>48</v>
      </c>
      <c r="I26" s="35">
        <v>284</v>
      </c>
      <c r="J26" s="35">
        <v>10</v>
      </c>
      <c r="K26" s="35">
        <v>49.5</v>
      </c>
      <c r="L26" s="35">
        <v>5.69</v>
      </c>
      <c r="M26" s="35">
        <v>31</v>
      </c>
      <c r="N26" s="35">
        <v>13</v>
      </c>
      <c r="O26" s="35" t="s">
        <v>184</v>
      </c>
      <c r="P26" s="35" t="str">
        <f t="shared" si="0"/>
        <v>Afghanistan</v>
      </c>
      <c r="Q26" s="35" t="s">
        <v>112</v>
      </c>
      <c r="R26" s="36" t="s">
        <v>67</v>
      </c>
      <c r="S26" s="35" t="str">
        <f t="shared" si="1"/>
        <v>No</v>
      </c>
    </row>
    <row r="27" spans="1:19" s="28" customFormat="1">
      <c r="A27" s="33">
        <v>26</v>
      </c>
      <c r="B27" s="34" t="s">
        <v>194</v>
      </c>
      <c r="C27" s="35" t="s">
        <v>46</v>
      </c>
      <c r="D27" s="35" t="s">
        <v>67</v>
      </c>
      <c r="E27" s="35" t="s">
        <v>75</v>
      </c>
      <c r="F27" s="35" t="s">
        <v>74</v>
      </c>
      <c r="G27" s="35" t="s">
        <v>46</v>
      </c>
      <c r="H27" s="35" t="s">
        <v>48</v>
      </c>
      <c r="I27" s="35">
        <v>215</v>
      </c>
      <c r="J27" s="35">
        <v>10</v>
      </c>
      <c r="K27" s="35">
        <v>40.299999999999997</v>
      </c>
      <c r="L27" s="35">
        <v>5.3</v>
      </c>
      <c r="M27" s="35">
        <v>25</v>
      </c>
      <c r="N27" s="35">
        <v>15</v>
      </c>
      <c r="O27" s="35" t="s">
        <v>183</v>
      </c>
      <c r="P27" s="35" t="str">
        <f t="shared" si="0"/>
        <v>Afghanistan</v>
      </c>
      <c r="Q27" s="35" t="s">
        <v>112</v>
      </c>
      <c r="R27" s="36" t="s">
        <v>67</v>
      </c>
      <c r="S27" s="35" t="str">
        <f t="shared" si="1"/>
        <v>No</v>
      </c>
    </row>
    <row r="28" spans="1:19" s="28" customFormat="1">
      <c r="A28" s="33">
        <v>27</v>
      </c>
      <c r="B28" s="34" t="s">
        <v>195</v>
      </c>
      <c r="C28" s="35" t="s">
        <v>77</v>
      </c>
      <c r="D28" s="35" t="s">
        <v>85</v>
      </c>
      <c r="E28" s="35" t="s">
        <v>105</v>
      </c>
      <c r="F28" s="35" t="s">
        <v>104</v>
      </c>
      <c r="G28" s="35" t="s">
        <v>77</v>
      </c>
      <c r="H28" s="35" t="s">
        <v>87</v>
      </c>
      <c r="I28" s="35">
        <v>209</v>
      </c>
      <c r="J28" s="35">
        <v>10</v>
      </c>
      <c r="K28" s="35">
        <v>43.3</v>
      </c>
      <c r="L28" s="35">
        <v>4.8</v>
      </c>
      <c r="M28" s="35">
        <v>24</v>
      </c>
      <c r="N28" s="35">
        <v>3</v>
      </c>
      <c r="O28" s="35" t="s">
        <v>183</v>
      </c>
      <c r="P28" s="35" t="str">
        <f t="shared" si="0"/>
        <v>Australia</v>
      </c>
      <c r="Q28" s="35" t="s">
        <v>114</v>
      </c>
      <c r="R28" s="36" t="s">
        <v>85</v>
      </c>
      <c r="S28" s="35" t="str">
        <f t="shared" si="1"/>
        <v>No</v>
      </c>
    </row>
    <row r="29" spans="1:19" s="28" customFormat="1">
      <c r="A29" s="33">
        <v>28</v>
      </c>
      <c r="B29" s="34" t="s">
        <v>195</v>
      </c>
      <c r="C29" s="35" t="s">
        <v>85</v>
      </c>
      <c r="D29" s="35" t="s">
        <v>77</v>
      </c>
      <c r="E29" s="35" t="s">
        <v>105</v>
      </c>
      <c r="F29" s="35" t="s">
        <v>104</v>
      </c>
      <c r="G29" s="35" t="s">
        <v>77</v>
      </c>
      <c r="H29" s="35" t="s">
        <v>87</v>
      </c>
      <c r="I29" s="35">
        <v>215</v>
      </c>
      <c r="J29" s="35">
        <v>5</v>
      </c>
      <c r="K29" s="35">
        <v>35.200000000000003</v>
      </c>
      <c r="L29" s="35">
        <v>6.08</v>
      </c>
      <c r="M29" s="35">
        <v>27</v>
      </c>
      <c r="N29" s="35">
        <v>13</v>
      </c>
      <c r="O29" s="35" t="s">
        <v>184</v>
      </c>
      <c r="P29" s="35" t="str">
        <f t="shared" si="0"/>
        <v>Australia</v>
      </c>
      <c r="Q29" s="35" t="s">
        <v>114</v>
      </c>
      <c r="R29" s="36" t="s">
        <v>85</v>
      </c>
      <c r="S29" s="35" t="str">
        <f t="shared" si="1"/>
        <v>No</v>
      </c>
    </row>
    <row r="30" spans="1:19" s="28" customFormat="1">
      <c r="A30" s="33">
        <v>29</v>
      </c>
      <c r="B30" s="34" t="s">
        <v>196</v>
      </c>
      <c r="C30" s="35" t="s">
        <v>58</v>
      </c>
      <c r="D30" s="35" t="s">
        <v>76</v>
      </c>
      <c r="E30" s="35" t="s">
        <v>66</v>
      </c>
      <c r="F30" s="35" t="s">
        <v>65</v>
      </c>
      <c r="G30" s="35" t="s">
        <v>76</v>
      </c>
      <c r="H30" s="35" t="s">
        <v>48</v>
      </c>
      <c r="I30" s="35">
        <v>245</v>
      </c>
      <c r="J30" s="35">
        <v>8</v>
      </c>
      <c r="K30" s="35">
        <v>43</v>
      </c>
      <c r="L30" s="35">
        <v>5.69</v>
      </c>
      <c r="M30" s="35">
        <v>29</v>
      </c>
      <c r="N30" s="35">
        <v>8</v>
      </c>
      <c r="O30" s="35" t="s">
        <v>184</v>
      </c>
      <c r="P30" s="35" t="str">
        <f t="shared" si="0"/>
        <v>Netherlands</v>
      </c>
      <c r="Q30" s="35" t="s">
        <v>116</v>
      </c>
      <c r="R30" s="36" t="s">
        <v>58</v>
      </c>
      <c r="S30" s="35" t="str">
        <f t="shared" si="1"/>
        <v>No</v>
      </c>
    </row>
    <row r="31" spans="1:19" s="28" customFormat="1">
      <c r="A31" s="33">
        <v>30</v>
      </c>
      <c r="B31" s="34" t="s">
        <v>196</v>
      </c>
      <c r="C31" s="35" t="s">
        <v>76</v>
      </c>
      <c r="D31" s="35" t="s">
        <v>58</v>
      </c>
      <c r="E31" s="35" t="s">
        <v>66</v>
      </c>
      <c r="F31" s="35" t="s">
        <v>65</v>
      </c>
      <c r="G31" s="35" t="s">
        <v>76</v>
      </c>
      <c r="H31" s="35" t="s">
        <v>48</v>
      </c>
      <c r="I31" s="35">
        <v>207</v>
      </c>
      <c r="J31" s="35">
        <v>10</v>
      </c>
      <c r="K31" s="35">
        <v>42.5</v>
      </c>
      <c r="L31" s="35">
        <v>4.83</v>
      </c>
      <c r="M31" s="35">
        <v>24</v>
      </c>
      <c r="N31" s="35">
        <v>32</v>
      </c>
      <c r="O31" s="35" t="s">
        <v>183</v>
      </c>
      <c r="P31" s="35" t="str">
        <f t="shared" si="0"/>
        <v>Netherlands</v>
      </c>
      <c r="Q31" s="35" t="s">
        <v>116</v>
      </c>
      <c r="R31" s="36" t="s">
        <v>58</v>
      </c>
      <c r="S31" s="35" t="str">
        <f t="shared" si="1"/>
        <v>No</v>
      </c>
    </row>
    <row r="32" spans="1:19" s="28" customFormat="1">
      <c r="A32" s="33">
        <v>31</v>
      </c>
      <c r="B32" s="34" t="s">
        <v>197</v>
      </c>
      <c r="C32" s="35" t="s">
        <v>47</v>
      </c>
      <c r="D32" s="35" t="s">
        <v>67</v>
      </c>
      <c r="E32" s="35" t="s">
        <v>84</v>
      </c>
      <c r="F32" s="35" t="s">
        <v>83</v>
      </c>
      <c r="G32" s="35" t="s">
        <v>67</v>
      </c>
      <c r="H32" s="35" t="s">
        <v>48</v>
      </c>
      <c r="I32" s="35">
        <v>288</v>
      </c>
      <c r="J32" s="35">
        <v>6</v>
      </c>
      <c r="K32" s="35">
        <v>50</v>
      </c>
      <c r="L32" s="35">
        <v>5.76</v>
      </c>
      <c r="M32" s="35">
        <v>30</v>
      </c>
      <c r="N32" s="35">
        <v>5</v>
      </c>
      <c r="O32" s="35" t="s">
        <v>184</v>
      </c>
      <c r="P32" s="35" t="str">
        <f t="shared" si="0"/>
        <v>NewZealand</v>
      </c>
      <c r="Q32" s="35" t="s">
        <v>118</v>
      </c>
      <c r="R32" s="36" t="s">
        <v>47</v>
      </c>
      <c r="S32" s="35" t="str">
        <f t="shared" si="1"/>
        <v>No</v>
      </c>
    </row>
    <row r="33" spans="1:19" s="28" customFormat="1">
      <c r="A33" s="33">
        <v>32</v>
      </c>
      <c r="B33" s="34" t="s">
        <v>197</v>
      </c>
      <c r="C33" s="35" t="s">
        <v>67</v>
      </c>
      <c r="D33" s="35" t="s">
        <v>47</v>
      </c>
      <c r="E33" s="35" t="s">
        <v>84</v>
      </c>
      <c r="F33" s="35" t="s">
        <v>83</v>
      </c>
      <c r="G33" s="35" t="s">
        <v>67</v>
      </c>
      <c r="H33" s="35" t="s">
        <v>48</v>
      </c>
      <c r="I33" s="35">
        <v>139</v>
      </c>
      <c r="J33" s="35">
        <v>10</v>
      </c>
      <c r="K33" s="35">
        <v>34.4</v>
      </c>
      <c r="L33" s="35">
        <v>4</v>
      </c>
      <c r="M33" s="35">
        <v>13</v>
      </c>
      <c r="N33" s="35">
        <v>10</v>
      </c>
      <c r="O33" s="35" t="s">
        <v>183</v>
      </c>
      <c r="P33" s="35" t="str">
        <f t="shared" si="0"/>
        <v>NewZealand</v>
      </c>
      <c r="Q33" s="35" t="s">
        <v>118</v>
      </c>
      <c r="R33" s="36" t="s">
        <v>47</v>
      </c>
      <c r="S33" s="35" t="str">
        <f t="shared" si="1"/>
        <v>No</v>
      </c>
    </row>
    <row r="34" spans="1:19" s="28" customFormat="1">
      <c r="A34" s="33">
        <v>33</v>
      </c>
      <c r="B34" s="34" t="s">
        <v>198</v>
      </c>
      <c r="C34" s="35" t="s">
        <v>68</v>
      </c>
      <c r="D34" s="35" t="s">
        <v>86</v>
      </c>
      <c r="E34" s="35" t="s">
        <v>120</v>
      </c>
      <c r="F34" s="35" t="s">
        <v>119</v>
      </c>
      <c r="G34" s="35" t="s">
        <v>68</v>
      </c>
      <c r="H34" s="35" t="s">
        <v>87</v>
      </c>
      <c r="I34" s="35">
        <v>256</v>
      </c>
      <c r="J34" s="35">
        <v>8</v>
      </c>
      <c r="K34" s="35">
        <v>50</v>
      </c>
      <c r="L34" s="35">
        <v>5.12</v>
      </c>
      <c r="M34" s="35">
        <v>26</v>
      </c>
      <c r="N34" s="35">
        <v>4</v>
      </c>
      <c r="O34" s="35" t="s">
        <v>183</v>
      </c>
      <c r="P34" s="35" t="str">
        <f t="shared" ref="P34:P65" si="2">IF(O34="Win",C34,D34)</f>
        <v>India</v>
      </c>
      <c r="Q34" s="35" t="s">
        <v>121</v>
      </c>
      <c r="R34" s="36" t="s">
        <v>86</v>
      </c>
      <c r="S34" s="35" t="str">
        <f t="shared" ref="S34:S65" si="3">IF(G34=P34,G34,"No")</f>
        <v>No</v>
      </c>
    </row>
    <row r="35" spans="1:19" s="28" customFormat="1">
      <c r="A35" s="33">
        <v>34</v>
      </c>
      <c r="B35" s="34" t="s">
        <v>198</v>
      </c>
      <c r="C35" s="35" t="s">
        <v>86</v>
      </c>
      <c r="D35" s="35" t="s">
        <v>68</v>
      </c>
      <c r="E35" s="35" t="s">
        <v>120</v>
      </c>
      <c r="F35" s="35" t="s">
        <v>119</v>
      </c>
      <c r="G35" s="35" t="s">
        <v>68</v>
      </c>
      <c r="H35" s="35" t="s">
        <v>87</v>
      </c>
      <c r="I35" s="35">
        <v>261</v>
      </c>
      <c r="J35" s="35">
        <v>3</v>
      </c>
      <c r="K35" s="35">
        <v>41.3</v>
      </c>
      <c r="L35" s="35">
        <v>6.28</v>
      </c>
      <c r="M35" s="35">
        <v>32</v>
      </c>
      <c r="N35" s="35">
        <v>6</v>
      </c>
      <c r="O35" s="35" t="s">
        <v>184</v>
      </c>
      <c r="P35" s="35" t="str">
        <f t="shared" si="2"/>
        <v>India</v>
      </c>
      <c r="Q35" s="35" t="s">
        <v>121</v>
      </c>
      <c r="R35" s="36" t="s">
        <v>86</v>
      </c>
      <c r="S35" s="35" t="str">
        <f t="shared" si="3"/>
        <v>No</v>
      </c>
    </row>
    <row r="36" spans="1:19" s="28" customFormat="1">
      <c r="A36" s="33">
        <v>35</v>
      </c>
      <c r="B36" s="34" t="s">
        <v>199</v>
      </c>
      <c r="C36" s="35" t="s">
        <v>85</v>
      </c>
      <c r="D36" s="35" t="s">
        <v>57</v>
      </c>
      <c r="E36" s="35" t="s">
        <v>123</v>
      </c>
      <c r="F36" s="35" t="s">
        <v>122</v>
      </c>
      <c r="G36" s="35" t="s">
        <v>57</v>
      </c>
      <c r="H36" s="35" t="s">
        <v>48</v>
      </c>
      <c r="I36" s="35">
        <v>367</v>
      </c>
      <c r="J36" s="35">
        <v>9</v>
      </c>
      <c r="K36" s="35">
        <v>50</v>
      </c>
      <c r="L36" s="35">
        <v>7.34</v>
      </c>
      <c r="M36" s="35">
        <v>48</v>
      </c>
      <c r="N36" s="35">
        <v>19</v>
      </c>
      <c r="O36" s="35" t="s">
        <v>184</v>
      </c>
      <c r="P36" s="35" t="str">
        <f t="shared" si="2"/>
        <v>Australia</v>
      </c>
      <c r="Q36" s="35" t="s">
        <v>125</v>
      </c>
      <c r="R36" s="36" t="s">
        <v>85</v>
      </c>
      <c r="S36" s="35" t="str">
        <f t="shared" si="3"/>
        <v>No</v>
      </c>
    </row>
    <row r="37" spans="1:19" s="28" customFormat="1">
      <c r="A37" s="33">
        <v>36</v>
      </c>
      <c r="B37" s="34" t="s">
        <v>199</v>
      </c>
      <c r="C37" s="35" t="s">
        <v>57</v>
      </c>
      <c r="D37" s="35" t="s">
        <v>85</v>
      </c>
      <c r="E37" s="35" t="s">
        <v>123</v>
      </c>
      <c r="F37" s="35" t="s">
        <v>122</v>
      </c>
      <c r="G37" s="35" t="s">
        <v>57</v>
      </c>
      <c r="H37" s="35" t="s">
        <v>48</v>
      </c>
      <c r="I37" s="35">
        <v>305</v>
      </c>
      <c r="J37" s="35">
        <v>10</v>
      </c>
      <c r="K37" s="35">
        <v>45.3</v>
      </c>
      <c r="L37" s="35">
        <v>6.7</v>
      </c>
      <c r="M37" s="35">
        <v>40</v>
      </c>
      <c r="N37" s="35">
        <v>25</v>
      </c>
      <c r="O37" s="35" t="s">
        <v>183</v>
      </c>
      <c r="P37" s="35" t="str">
        <f t="shared" si="2"/>
        <v>Australia</v>
      </c>
      <c r="Q37" s="35" t="s">
        <v>125</v>
      </c>
      <c r="R37" s="36" t="s">
        <v>85</v>
      </c>
      <c r="S37" s="35" t="str">
        <f t="shared" si="3"/>
        <v>No</v>
      </c>
    </row>
    <row r="38" spans="1:19" s="28" customFormat="1">
      <c r="A38" s="33">
        <v>37</v>
      </c>
      <c r="B38" s="34" t="s">
        <v>200</v>
      </c>
      <c r="C38" s="35" t="s">
        <v>58</v>
      </c>
      <c r="D38" s="35" t="s">
        <v>77</v>
      </c>
      <c r="E38" s="35" t="s">
        <v>105</v>
      </c>
      <c r="F38" s="35" t="s">
        <v>104</v>
      </c>
      <c r="G38" s="35" t="s">
        <v>58</v>
      </c>
      <c r="H38" s="35" t="s">
        <v>87</v>
      </c>
      <c r="I38" s="35">
        <v>262</v>
      </c>
      <c r="J38" s="35">
        <v>10</v>
      </c>
      <c r="K38" s="35">
        <v>49.4</v>
      </c>
      <c r="L38" s="35">
        <v>5.27</v>
      </c>
      <c r="M38" s="35">
        <v>17</v>
      </c>
      <c r="N38" s="35">
        <v>24</v>
      </c>
      <c r="O38" s="35" t="s">
        <v>183</v>
      </c>
      <c r="P38" s="35" t="str">
        <f t="shared" si="2"/>
        <v>Sri Lanka</v>
      </c>
      <c r="Q38" s="35" t="s">
        <v>126</v>
      </c>
      <c r="R38" s="36" t="s">
        <v>77</v>
      </c>
      <c r="S38" s="35" t="str">
        <f t="shared" si="3"/>
        <v>No</v>
      </c>
    </row>
    <row r="39" spans="1:19" s="28" customFormat="1">
      <c r="A39" s="33">
        <v>38</v>
      </c>
      <c r="B39" s="34" t="s">
        <v>200</v>
      </c>
      <c r="C39" s="35" t="s">
        <v>77</v>
      </c>
      <c r="D39" s="35" t="s">
        <v>58</v>
      </c>
      <c r="E39" s="35" t="s">
        <v>105</v>
      </c>
      <c r="F39" s="35" t="s">
        <v>104</v>
      </c>
      <c r="G39" s="35" t="s">
        <v>58</v>
      </c>
      <c r="H39" s="35" t="s">
        <v>87</v>
      </c>
      <c r="I39" s="35">
        <v>263</v>
      </c>
      <c r="J39" s="35">
        <v>5</v>
      </c>
      <c r="K39" s="35">
        <v>48.2</v>
      </c>
      <c r="L39" s="35">
        <v>5.44</v>
      </c>
      <c r="M39" s="35">
        <v>26</v>
      </c>
      <c r="N39" s="35">
        <v>33</v>
      </c>
      <c r="O39" s="35" t="s">
        <v>184</v>
      </c>
      <c r="P39" s="35" t="str">
        <f t="shared" si="2"/>
        <v>Sri Lanka</v>
      </c>
      <c r="Q39" s="35" t="s">
        <v>126</v>
      </c>
      <c r="R39" s="36" t="s">
        <v>77</v>
      </c>
      <c r="S39" s="35" t="str">
        <f t="shared" si="3"/>
        <v>No</v>
      </c>
    </row>
    <row r="40" spans="1:19" s="28" customFormat="1">
      <c r="A40" s="33">
        <v>39</v>
      </c>
      <c r="B40" s="34" t="s">
        <v>200</v>
      </c>
      <c r="C40" s="35" t="s">
        <v>76</v>
      </c>
      <c r="D40" s="35" t="s">
        <v>46</v>
      </c>
      <c r="E40" s="35" t="s">
        <v>128</v>
      </c>
      <c r="F40" s="35" t="s">
        <v>127</v>
      </c>
      <c r="G40" s="35" t="s">
        <v>46</v>
      </c>
      <c r="H40" s="35" t="s">
        <v>48</v>
      </c>
      <c r="I40" s="35">
        <v>399</v>
      </c>
      <c r="J40" s="35">
        <v>7</v>
      </c>
      <c r="K40" s="35">
        <v>50</v>
      </c>
      <c r="L40" s="35">
        <v>7.98</v>
      </c>
      <c r="M40" s="35">
        <v>51</v>
      </c>
      <c r="N40" s="35">
        <v>15</v>
      </c>
      <c r="O40" s="35" t="s">
        <v>184</v>
      </c>
      <c r="P40" s="35" t="str">
        <f t="shared" si="2"/>
        <v>South Africa</v>
      </c>
      <c r="Q40" s="35" t="s">
        <v>130</v>
      </c>
      <c r="R40" s="36" t="s">
        <v>76</v>
      </c>
      <c r="S40" s="35" t="str">
        <f t="shared" si="3"/>
        <v>No</v>
      </c>
    </row>
    <row r="41" spans="1:19" s="28" customFormat="1">
      <c r="A41" s="33">
        <v>40</v>
      </c>
      <c r="B41" s="34" t="s">
        <v>200</v>
      </c>
      <c r="C41" s="35" t="s">
        <v>46</v>
      </c>
      <c r="D41" s="35" t="s">
        <v>76</v>
      </c>
      <c r="E41" s="35" t="s">
        <v>128</v>
      </c>
      <c r="F41" s="35" t="s">
        <v>127</v>
      </c>
      <c r="G41" s="35" t="s">
        <v>46</v>
      </c>
      <c r="H41" s="35" t="s">
        <v>48</v>
      </c>
      <c r="I41" s="35">
        <v>170</v>
      </c>
      <c r="J41" s="35">
        <v>10</v>
      </c>
      <c r="K41" s="35">
        <v>22</v>
      </c>
      <c r="L41" s="35">
        <v>7.72</v>
      </c>
      <c r="M41" s="35">
        <v>27</v>
      </c>
      <c r="N41" s="35">
        <v>15</v>
      </c>
      <c r="O41" s="35" t="s">
        <v>183</v>
      </c>
      <c r="P41" s="35" t="str">
        <f t="shared" si="2"/>
        <v>South Africa</v>
      </c>
      <c r="Q41" s="35" t="s">
        <v>130</v>
      </c>
      <c r="R41" s="36" t="s">
        <v>76</v>
      </c>
      <c r="S41" s="35" t="str">
        <f t="shared" si="3"/>
        <v>No</v>
      </c>
    </row>
    <row r="42" spans="1:19" s="28" customFormat="1">
      <c r="A42" s="33">
        <v>41</v>
      </c>
      <c r="B42" s="34" t="s">
        <v>201</v>
      </c>
      <c r="C42" s="35" t="s">
        <v>47</v>
      </c>
      <c r="D42" s="35" t="s">
        <v>86</v>
      </c>
      <c r="E42" s="35" t="s">
        <v>66</v>
      </c>
      <c r="F42" s="35" t="s">
        <v>65</v>
      </c>
      <c r="G42" s="35" t="s">
        <v>86</v>
      </c>
      <c r="H42" s="35" t="s">
        <v>48</v>
      </c>
      <c r="I42" s="35">
        <v>273</v>
      </c>
      <c r="J42" s="35">
        <v>10</v>
      </c>
      <c r="K42" s="35">
        <v>50</v>
      </c>
      <c r="L42" s="35">
        <v>5.46</v>
      </c>
      <c r="M42" s="35">
        <v>26</v>
      </c>
      <c r="N42" s="35">
        <v>5</v>
      </c>
      <c r="O42" s="35" t="s">
        <v>183</v>
      </c>
      <c r="P42" s="35" t="str">
        <f t="shared" si="2"/>
        <v>India</v>
      </c>
      <c r="Q42" s="35" t="s">
        <v>132</v>
      </c>
      <c r="R42" s="36" t="s">
        <v>86</v>
      </c>
      <c r="S42" s="35" t="str">
        <f t="shared" si="3"/>
        <v>India</v>
      </c>
    </row>
    <row r="43" spans="1:19" s="28" customFormat="1">
      <c r="A43" s="33">
        <v>42</v>
      </c>
      <c r="B43" s="34" t="s">
        <v>201</v>
      </c>
      <c r="C43" s="35" t="s">
        <v>86</v>
      </c>
      <c r="D43" s="35" t="s">
        <v>47</v>
      </c>
      <c r="E43" s="35" t="s">
        <v>66</v>
      </c>
      <c r="F43" s="35" t="s">
        <v>65</v>
      </c>
      <c r="G43" s="35" t="s">
        <v>86</v>
      </c>
      <c r="H43" s="35" t="s">
        <v>48</v>
      </c>
      <c r="I43" s="35">
        <v>274</v>
      </c>
      <c r="J43" s="35">
        <v>6</v>
      </c>
      <c r="K43" s="35">
        <v>48</v>
      </c>
      <c r="L43" s="35">
        <v>5.7</v>
      </c>
      <c r="M43" s="35">
        <v>36</v>
      </c>
      <c r="N43" s="35">
        <v>15</v>
      </c>
      <c r="O43" s="35" t="s">
        <v>184</v>
      </c>
      <c r="P43" s="35" t="str">
        <f t="shared" si="2"/>
        <v>India</v>
      </c>
      <c r="Q43" s="35" t="s">
        <v>132</v>
      </c>
      <c r="R43" s="36" t="s">
        <v>86</v>
      </c>
      <c r="S43" s="35" t="str">
        <f t="shared" si="3"/>
        <v>India</v>
      </c>
    </row>
    <row r="44" spans="1:19" s="28" customFormat="1">
      <c r="A44" s="33">
        <v>43</v>
      </c>
      <c r="B44" s="34" t="s">
        <v>202</v>
      </c>
      <c r="C44" s="35" t="s">
        <v>57</v>
      </c>
      <c r="D44" s="35" t="s">
        <v>67</v>
      </c>
      <c r="E44" s="35" t="s">
        <v>84</v>
      </c>
      <c r="F44" s="35" t="s">
        <v>83</v>
      </c>
      <c r="G44" s="35" t="s">
        <v>57</v>
      </c>
      <c r="H44" s="35" t="s">
        <v>87</v>
      </c>
      <c r="I44" s="35">
        <v>282</v>
      </c>
      <c r="J44" s="35">
        <v>7</v>
      </c>
      <c r="K44" s="35">
        <v>50</v>
      </c>
      <c r="L44" s="35">
        <v>5.64</v>
      </c>
      <c r="M44" s="35">
        <v>26</v>
      </c>
      <c r="N44" s="35">
        <v>9</v>
      </c>
      <c r="O44" s="35" t="s">
        <v>183</v>
      </c>
      <c r="P44" s="35" t="str">
        <f t="shared" si="2"/>
        <v>Afghanistan</v>
      </c>
      <c r="Q44" s="35" t="s">
        <v>133</v>
      </c>
      <c r="R44" s="36" t="s">
        <v>67</v>
      </c>
      <c r="S44" s="35" t="str">
        <f t="shared" si="3"/>
        <v>No</v>
      </c>
    </row>
    <row r="45" spans="1:19" s="28" customFormat="1">
      <c r="A45" s="33">
        <v>44</v>
      </c>
      <c r="B45" s="34" t="s">
        <v>202</v>
      </c>
      <c r="C45" s="35" t="s">
        <v>67</v>
      </c>
      <c r="D45" s="35" t="s">
        <v>57</v>
      </c>
      <c r="E45" s="35" t="s">
        <v>84</v>
      </c>
      <c r="F45" s="35" t="s">
        <v>83</v>
      </c>
      <c r="G45" s="35" t="s">
        <v>57</v>
      </c>
      <c r="H45" s="35" t="s">
        <v>87</v>
      </c>
      <c r="I45" s="35">
        <v>286</v>
      </c>
      <c r="J45" s="35">
        <v>2</v>
      </c>
      <c r="K45" s="35">
        <v>49</v>
      </c>
      <c r="L45" s="35">
        <v>5.83</v>
      </c>
      <c r="M45" s="35">
        <v>31</v>
      </c>
      <c r="N45" s="35">
        <v>17</v>
      </c>
      <c r="O45" s="35" t="s">
        <v>184</v>
      </c>
      <c r="P45" s="35" t="str">
        <f t="shared" si="2"/>
        <v>Afghanistan</v>
      </c>
      <c r="Q45" s="35" t="s">
        <v>133</v>
      </c>
      <c r="R45" s="36" t="s">
        <v>67</v>
      </c>
      <c r="S45" s="35" t="str">
        <f t="shared" si="3"/>
        <v>No</v>
      </c>
    </row>
    <row r="46" spans="1:19" s="28" customFormat="1">
      <c r="A46" s="33">
        <v>45</v>
      </c>
      <c r="B46" s="34" t="s">
        <v>203</v>
      </c>
      <c r="C46" s="35" t="s">
        <v>76</v>
      </c>
      <c r="D46" s="35" t="s">
        <v>68</v>
      </c>
      <c r="E46" s="35" t="s">
        <v>128</v>
      </c>
      <c r="F46" s="35" t="s">
        <v>127</v>
      </c>
      <c r="G46" s="35" t="s">
        <v>76</v>
      </c>
      <c r="H46" s="35" t="s">
        <v>87</v>
      </c>
      <c r="I46" s="35">
        <v>382</v>
      </c>
      <c r="J46" s="35">
        <v>5</v>
      </c>
      <c r="K46" s="35">
        <v>50</v>
      </c>
      <c r="L46" s="35">
        <v>7.64</v>
      </c>
      <c r="M46" s="35">
        <v>45</v>
      </c>
      <c r="N46" s="35">
        <v>17</v>
      </c>
      <c r="O46" s="35" t="s">
        <v>184</v>
      </c>
      <c r="P46" s="35" t="str">
        <f t="shared" si="2"/>
        <v>South Africa</v>
      </c>
      <c r="Q46" s="35" t="s">
        <v>107</v>
      </c>
      <c r="R46" s="36" t="s">
        <v>76</v>
      </c>
      <c r="S46" s="35" t="str">
        <f t="shared" si="3"/>
        <v>South Africa</v>
      </c>
    </row>
    <row r="47" spans="1:19" s="28" customFormat="1">
      <c r="A47" s="33">
        <v>46</v>
      </c>
      <c r="B47" s="34" t="s">
        <v>203</v>
      </c>
      <c r="C47" s="35" t="s">
        <v>68</v>
      </c>
      <c r="D47" s="35" t="s">
        <v>76</v>
      </c>
      <c r="E47" s="35" t="s">
        <v>128</v>
      </c>
      <c r="F47" s="35" t="s">
        <v>127</v>
      </c>
      <c r="G47" s="35" t="s">
        <v>76</v>
      </c>
      <c r="H47" s="35" t="s">
        <v>87</v>
      </c>
      <c r="I47" s="35">
        <v>233</v>
      </c>
      <c r="J47" s="35">
        <v>10</v>
      </c>
      <c r="K47" s="35">
        <v>46.4</v>
      </c>
      <c r="L47" s="35">
        <v>4.99</v>
      </c>
      <c r="M47" s="35">
        <v>30</v>
      </c>
      <c r="N47" s="35">
        <v>10</v>
      </c>
      <c r="O47" s="35" t="s">
        <v>183</v>
      </c>
      <c r="P47" s="35" t="str">
        <f t="shared" si="2"/>
        <v>South Africa</v>
      </c>
      <c r="Q47" s="35" t="s">
        <v>107</v>
      </c>
      <c r="R47" s="36" t="s">
        <v>76</v>
      </c>
      <c r="S47" s="35" t="str">
        <f t="shared" si="3"/>
        <v>South Africa</v>
      </c>
    </row>
    <row r="48" spans="1:19" s="28" customFormat="1">
      <c r="A48" s="33">
        <v>47</v>
      </c>
      <c r="B48" s="34" t="s">
        <v>204</v>
      </c>
      <c r="C48" s="35" t="s">
        <v>85</v>
      </c>
      <c r="D48" s="35" t="s">
        <v>58</v>
      </c>
      <c r="E48" s="35" t="s">
        <v>75</v>
      </c>
      <c r="F48" s="35" t="s">
        <v>74</v>
      </c>
      <c r="G48" s="35" t="s">
        <v>85</v>
      </c>
      <c r="H48" s="35" t="s">
        <v>87</v>
      </c>
      <c r="I48" s="35">
        <v>399</v>
      </c>
      <c r="J48" s="35">
        <v>8</v>
      </c>
      <c r="K48" s="35">
        <v>50</v>
      </c>
      <c r="L48" s="35">
        <v>7.98</v>
      </c>
      <c r="M48" s="35">
        <v>57</v>
      </c>
      <c r="N48" s="35">
        <v>7</v>
      </c>
      <c r="O48" s="35" t="s">
        <v>184</v>
      </c>
      <c r="P48" s="35" t="str">
        <f t="shared" si="2"/>
        <v>Australia</v>
      </c>
      <c r="Q48" s="35" t="s">
        <v>135</v>
      </c>
      <c r="R48" s="36" t="s">
        <v>85</v>
      </c>
      <c r="S48" s="35" t="str">
        <f t="shared" si="3"/>
        <v>Australia</v>
      </c>
    </row>
    <row r="49" spans="1:19" s="28" customFormat="1">
      <c r="A49" s="33">
        <v>48</v>
      </c>
      <c r="B49" s="34" t="s">
        <v>204</v>
      </c>
      <c r="C49" s="35" t="s">
        <v>58</v>
      </c>
      <c r="D49" s="35" t="s">
        <v>85</v>
      </c>
      <c r="E49" s="35" t="s">
        <v>75</v>
      </c>
      <c r="F49" s="35" t="s">
        <v>74</v>
      </c>
      <c r="G49" s="35" t="s">
        <v>85</v>
      </c>
      <c r="H49" s="35" t="s">
        <v>87</v>
      </c>
      <c r="I49" s="35">
        <v>90</v>
      </c>
      <c r="J49" s="35">
        <v>10</v>
      </c>
      <c r="K49" s="35">
        <v>21</v>
      </c>
      <c r="L49" s="35">
        <v>4.28</v>
      </c>
      <c r="M49" s="35">
        <v>13</v>
      </c>
      <c r="N49" s="35">
        <v>12</v>
      </c>
      <c r="O49" s="35" t="s">
        <v>183</v>
      </c>
      <c r="P49" s="35" t="str">
        <f t="shared" si="2"/>
        <v>Australia</v>
      </c>
      <c r="Q49" s="35" t="s">
        <v>135</v>
      </c>
      <c r="R49" s="36" t="s">
        <v>85</v>
      </c>
      <c r="S49" s="35" t="str">
        <f t="shared" si="3"/>
        <v>Australia</v>
      </c>
    </row>
    <row r="50" spans="1:19" s="28" customFormat="1">
      <c r="A50" s="33">
        <v>49</v>
      </c>
      <c r="B50" s="34" t="s">
        <v>205</v>
      </c>
      <c r="C50" s="35" t="s">
        <v>46</v>
      </c>
      <c r="D50" s="35" t="s">
        <v>77</v>
      </c>
      <c r="E50" s="35" t="s">
        <v>123</v>
      </c>
      <c r="F50" s="35" t="s">
        <v>122</v>
      </c>
      <c r="G50" s="35" t="s">
        <v>46</v>
      </c>
      <c r="H50" s="35" t="s">
        <v>87</v>
      </c>
      <c r="I50" s="35">
        <v>156</v>
      </c>
      <c r="J50" s="35">
        <v>10</v>
      </c>
      <c r="K50" s="35">
        <v>33.200000000000003</v>
      </c>
      <c r="L50" s="35">
        <v>4.68</v>
      </c>
      <c r="M50" s="35">
        <v>20</v>
      </c>
      <c r="N50" s="35">
        <v>3</v>
      </c>
      <c r="O50" s="35" t="s">
        <v>183</v>
      </c>
      <c r="P50" s="35" t="str">
        <f t="shared" si="2"/>
        <v>Sri Lanka</v>
      </c>
      <c r="Q50" s="35" t="s">
        <v>136</v>
      </c>
      <c r="R50" s="36" t="s">
        <v>77</v>
      </c>
      <c r="S50" s="35" t="str">
        <f t="shared" si="3"/>
        <v>No</v>
      </c>
    </row>
    <row r="51" spans="1:19" s="28" customFormat="1">
      <c r="A51" s="33">
        <v>50</v>
      </c>
      <c r="B51" s="34" t="s">
        <v>205</v>
      </c>
      <c r="C51" s="35" t="s">
        <v>77</v>
      </c>
      <c r="D51" s="35" t="s">
        <v>46</v>
      </c>
      <c r="E51" s="35" t="s">
        <v>123</v>
      </c>
      <c r="F51" s="35" t="s">
        <v>122</v>
      </c>
      <c r="G51" s="35" t="s">
        <v>46</v>
      </c>
      <c r="H51" s="35" t="s">
        <v>87</v>
      </c>
      <c r="I51" s="35">
        <v>160</v>
      </c>
      <c r="J51" s="35">
        <v>2</v>
      </c>
      <c r="K51" s="35">
        <v>25.4</v>
      </c>
      <c r="L51" s="35">
        <v>6.23</v>
      </c>
      <c r="M51" s="35">
        <v>20</v>
      </c>
      <c r="N51" s="35">
        <v>7</v>
      </c>
      <c r="O51" s="35" t="s">
        <v>184</v>
      </c>
      <c r="P51" s="35" t="str">
        <f t="shared" si="2"/>
        <v>Sri Lanka</v>
      </c>
      <c r="Q51" s="35" t="s">
        <v>136</v>
      </c>
      <c r="R51" s="36" t="s">
        <v>77</v>
      </c>
      <c r="S51" s="35" t="str">
        <f t="shared" si="3"/>
        <v>No</v>
      </c>
    </row>
    <row r="52" spans="1:19" s="28" customFormat="1">
      <c r="A52" s="33">
        <v>51</v>
      </c>
      <c r="B52" s="34" t="s">
        <v>206</v>
      </c>
      <c r="C52" s="35" t="s">
        <v>57</v>
      </c>
      <c r="D52" s="35" t="s">
        <v>76</v>
      </c>
      <c r="E52" s="35" t="s">
        <v>84</v>
      </c>
      <c r="F52" s="35" t="s">
        <v>83</v>
      </c>
      <c r="G52" s="35" t="s">
        <v>57</v>
      </c>
      <c r="H52" s="35" t="s">
        <v>87</v>
      </c>
      <c r="I52" s="35">
        <v>270</v>
      </c>
      <c r="J52" s="35">
        <v>10</v>
      </c>
      <c r="K52" s="35">
        <v>46.4</v>
      </c>
      <c r="L52" s="35">
        <v>5.78</v>
      </c>
      <c r="M52" s="35">
        <v>31</v>
      </c>
      <c r="N52" s="35">
        <v>21</v>
      </c>
      <c r="O52" s="35" t="s">
        <v>183</v>
      </c>
      <c r="P52" s="35" t="str">
        <f t="shared" si="2"/>
        <v>South Africa</v>
      </c>
      <c r="Q52" s="35" t="s">
        <v>138</v>
      </c>
      <c r="R52" s="36" t="s">
        <v>76</v>
      </c>
      <c r="S52" s="35" t="str">
        <f t="shared" si="3"/>
        <v>No</v>
      </c>
    </row>
    <row r="53" spans="1:19" s="28" customFormat="1">
      <c r="A53" s="33">
        <v>52</v>
      </c>
      <c r="B53" s="34" t="s">
        <v>206</v>
      </c>
      <c r="C53" s="35" t="s">
        <v>76</v>
      </c>
      <c r="D53" s="35" t="s">
        <v>57</v>
      </c>
      <c r="E53" s="35" t="s">
        <v>84</v>
      </c>
      <c r="F53" s="35" t="s">
        <v>83</v>
      </c>
      <c r="G53" s="35" t="s">
        <v>57</v>
      </c>
      <c r="H53" s="35" t="s">
        <v>87</v>
      </c>
      <c r="I53" s="35">
        <v>271</v>
      </c>
      <c r="J53" s="35">
        <v>9</v>
      </c>
      <c r="K53" s="35">
        <v>47.2</v>
      </c>
      <c r="L53" s="35">
        <v>5.22</v>
      </c>
      <c r="M53" s="35">
        <v>29</v>
      </c>
      <c r="N53" s="35">
        <v>19</v>
      </c>
      <c r="O53" s="35" t="s">
        <v>184</v>
      </c>
      <c r="P53" s="35" t="str">
        <f t="shared" si="2"/>
        <v>South Africa</v>
      </c>
      <c r="Q53" s="35" t="s">
        <v>138</v>
      </c>
      <c r="R53" s="36" t="s">
        <v>76</v>
      </c>
      <c r="S53" s="35" t="str">
        <f t="shared" si="3"/>
        <v>No</v>
      </c>
    </row>
    <row r="54" spans="1:19" s="28" customFormat="1">
      <c r="A54" s="33">
        <v>53</v>
      </c>
      <c r="B54" s="34" t="s">
        <v>207</v>
      </c>
      <c r="C54" s="35" t="s">
        <v>85</v>
      </c>
      <c r="D54" s="35" t="s">
        <v>47</v>
      </c>
      <c r="E54" s="35" t="s">
        <v>66</v>
      </c>
      <c r="F54" s="35" t="s">
        <v>65</v>
      </c>
      <c r="G54" s="35" t="s">
        <v>47</v>
      </c>
      <c r="H54" s="35" t="s">
        <v>48</v>
      </c>
      <c r="I54" s="35">
        <v>388</v>
      </c>
      <c r="J54" s="35">
        <v>10</v>
      </c>
      <c r="K54" s="35">
        <v>49.2</v>
      </c>
      <c r="L54" s="35">
        <v>7.86</v>
      </c>
      <c r="M54" s="35">
        <v>52</v>
      </c>
      <c r="N54" s="35">
        <v>26</v>
      </c>
      <c r="O54" s="35" t="s">
        <v>184</v>
      </c>
      <c r="P54" s="35" t="str">
        <f t="shared" si="2"/>
        <v>Australia</v>
      </c>
      <c r="Q54" s="35" t="s">
        <v>140</v>
      </c>
      <c r="R54" s="36" t="s">
        <v>85</v>
      </c>
      <c r="S54" s="35" t="str">
        <f t="shared" si="3"/>
        <v>No</v>
      </c>
    </row>
    <row r="55" spans="1:19" s="28" customFormat="1">
      <c r="A55" s="33">
        <v>54</v>
      </c>
      <c r="B55" s="34" t="s">
        <v>207</v>
      </c>
      <c r="C55" s="35" t="s">
        <v>47</v>
      </c>
      <c r="D55" s="35" t="s">
        <v>85</v>
      </c>
      <c r="E55" s="35" t="s">
        <v>66</v>
      </c>
      <c r="F55" s="35" t="s">
        <v>65</v>
      </c>
      <c r="G55" s="35" t="s">
        <v>47</v>
      </c>
      <c r="H55" s="35" t="s">
        <v>48</v>
      </c>
      <c r="I55" s="35">
        <v>383</v>
      </c>
      <c r="J55" s="35">
        <v>9</v>
      </c>
      <c r="K55" s="35">
        <v>50</v>
      </c>
      <c r="L55" s="35">
        <v>7.66</v>
      </c>
      <c r="M55" s="35">
        <v>45</v>
      </c>
      <c r="N55" s="35">
        <v>9</v>
      </c>
      <c r="O55" s="35" t="s">
        <v>183</v>
      </c>
      <c r="P55" s="35" t="str">
        <f t="shared" si="2"/>
        <v>Australia</v>
      </c>
      <c r="Q55" s="35" t="s">
        <v>140</v>
      </c>
      <c r="R55" s="36" t="s">
        <v>85</v>
      </c>
      <c r="S55" s="35" t="str">
        <f t="shared" si="3"/>
        <v>No</v>
      </c>
    </row>
    <row r="56" spans="1:19" s="28" customFormat="1">
      <c r="A56" s="33">
        <v>55</v>
      </c>
      <c r="B56" s="34" t="s">
        <v>207</v>
      </c>
      <c r="C56" s="35" t="s">
        <v>58</v>
      </c>
      <c r="D56" s="35" t="s">
        <v>68</v>
      </c>
      <c r="E56" s="35" t="s">
        <v>56</v>
      </c>
      <c r="F56" s="35" t="s">
        <v>141</v>
      </c>
      <c r="G56" s="35" t="s">
        <v>58</v>
      </c>
      <c r="H56" s="35" t="s">
        <v>87</v>
      </c>
      <c r="I56" s="35">
        <v>142</v>
      </c>
      <c r="J56" s="35">
        <v>10</v>
      </c>
      <c r="K56" s="35">
        <v>42.2</v>
      </c>
      <c r="L56" s="35">
        <v>3.35</v>
      </c>
      <c r="M56" s="35">
        <v>24</v>
      </c>
      <c r="N56" s="35">
        <v>6</v>
      </c>
      <c r="O56" s="35" t="s">
        <v>184</v>
      </c>
      <c r="P56" s="35" t="str">
        <f t="shared" si="2"/>
        <v>Netherlands</v>
      </c>
      <c r="Q56" s="35" t="s">
        <v>143</v>
      </c>
      <c r="R56" s="36" t="s">
        <v>58</v>
      </c>
      <c r="S56" s="35" t="str">
        <f t="shared" si="3"/>
        <v>Netherlands</v>
      </c>
    </row>
    <row r="57" spans="1:19" s="28" customFormat="1">
      <c r="A57" s="33">
        <v>56</v>
      </c>
      <c r="B57" s="34" t="s">
        <v>207</v>
      </c>
      <c r="C57" s="35" t="s">
        <v>68</v>
      </c>
      <c r="D57" s="35" t="s">
        <v>58</v>
      </c>
      <c r="E57" s="35" t="s">
        <v>56</v>
      </c>
      <c r="F57" s="35" t="s">
        <v>141</v>
      </c>
      <c r="G57" s="35" t="s">
        <v>58</v>
      </c>
      <c r="H57" s="35" t="s">
        <v>87</v>
      </c>
      <c r="I57" s="35">
        <v>229</v>
      </c>
      <c r="J57" s="35">
        <v>10</v>
      </c>
      <c r="K57" s="35">
        <v>50</v>
      </c>
      <c r="L57" s="35">
        <v>4.58</v>
      </c>
      <c r="M57" s="35">
        <v>18</v>
      </c>
      <c r="N57" s="35">
        <v>12</v>
      </c>
      <c r="O57" s="35" t="s">
        <v>183</v>
      </c>
      <c r="P57" s="35" t="str">
        <f t="shared" si="2"/>
        <v>Netherlands</v>
      </c>
      <c r="Q57" s="35" t="s">
        <v>143</v>
      </c>
      <c r="R57" s="36" t="s">
        <v>58</v>
      </c>
      <c r="S57" s="35" t="str">
        <f t="shared" si="3"/>
        <v>Netherlands</v>
      </c>
    </row>
    <row r="58" spans="1:19" s="28" customFormat="1">
      <c r="A58" s="33">
        <v>57</v>
      </c>
      <c r="B58" s="34" t="s">
        <v>208</v>
      </c>
      <c r="C58" s="35" t="s">
        <v>86</v>
      </c>
      <c r="D58" s="35" t="s">
        <v>46</v>
      </c>
      <c r="E58" s="35" t="s">
        <v>105</v>
      </c>
      <c r="F58" s="35" t="s">
        <v>104</v>
      </c>
      <c r="G58" s="35" t="s">
        <v>46</v>
      </c>
      <c r="H58" s="35" t="s">
        <v>48</v>
      </c>
      <c r="I58" s="35">
        <v>229</v>
      </c>
      <c r="J58" s="35">
        <v>9</v>
      </c>
      <c r="K58" s="35">
        <v>50</v>
      </c>
      <c r="L58" s="35">
        <v>4.58</v>
      </c>
      <c r="M58" s="35">
        <v>24</v>
      </c>
      <c r="N58" s="35">
        <v>8</v>
      </c>
      <c r="O58" s="35" t="s">
        <v>184</v>
      </c>
      <c r="P58" s="35" t="str">
        <f t="shared" si="2"/>
        <v>India</v>
      </c>
      <c r="Q58" s="35" t="s">
        <v>102</v>
      </c>
      <c r="R58" s="36" t="s">
        <v>86</v>
      </c>
      <c r="S58" s="35" t="str">
        <f t="shared" si="3"/>
        <v>No</v>
      </c>
    </row>
    <row r="59" spans="1:19" s="28" customFormat="1">
      <c r="A59" s="33">
        <v>58</v>
      </c>
      <c r="B59" s="34" t="s">
        <v>208</v>
      </c>
      <c r="C59" s="35" t="s">
        <v>46</v>
      </c>
      <c r="D59" s="35" t="s">
        <v>86</v>
      </c>
      <c r="E59" s="35" t="s">
        <v>105</v>
      </c>
      <c r="F59" s="35" t="s">
        <v>104</v>
      </c>
      <c r="G59" s="35" t="s">
        <v>46</v>
      </c>
      <c r="H59" s="35" t="s">
        <v>48</v>
      </c>
      <c r="I59" s="35">
        <v>129</v>
      </c>
      <c r="J59" s="35">
        <v>10</v>
      </c>
      <c r="K59" s="35">
        <v>34.5</v>
      </c>
      <c r="L59" s="35">
        <v>3.7</v>
      </c>
      <c r="M59" s="35">
        <v>13</v>
      </c>
      <c r="N59" s="35">
        <v>7</v>
      </c>
      <c r="O59" s="35" t="s">
        <v>183</v>
      </c>
      <c r="P59" s="35" t="str">
        <f t="shared" si="2"/>
        <v>India</v>
      </c>
      <c r="Q59" s="35" t="s">
        <v>102</v>
      </c>
      <c r="R59" s="36" t="s">
        <v>86</v>
      </c>
      <c r="S59" s="35" t="str">
        <f t="shared" si="3"/>
        <v>No</v>
      </c>
    </row>
    <row r="60" spans="1:19" s="28" customFormat="1">
      <c r="A60" s="33">
        <v>59</v>
      </c>
      <c r="B60" s="34" t="s">
        <v>209</v>
      </c>
      <c r="C60" s="35" t="s">
        <v>77</v>
      </c>
      <c r="D60" s="35" t="s">
        <v>67</v>
      </c>
      <c r="E60" s="35" t="s">
        <v>120</v>
      </c>
      <c r="F60" s="35" t="s">
        <v>119</v>
      </c>
      <c r="G60" s="35" t="s">
        <v>67</v>
      </c>
      <c r="H60" s="35" t="s">
        <v>48</v>
      </c>
      <c r="I60" s="35">
        <v>241</v>
      </c>
      <c r="J60" s="35">
        <v>10</v>
      </c>
      <c r="K60" s="35">
        <v>49.3</v>
      </c>
      <c r="L60" s="35">
        <v>4.8600000000000003</v>
      </c>
      <c r="M60" s="35">
        <v>21</v>
      </c>
      <c r="N60" s="35">
        <v>10</v>
      </c>
      <c r="O60" s="35" t="s">
        <v>183</v>
      </c>
      <c r="P60" s="35" t="str">
        <f t="shared" si="2"/>
        <v>Afghanistan</v>
      </c>
      <c r="Q60" s="35" t="s">
        <v>145</v>
      </c>
      <c r="R60" s="36" t="s">
        <v>67</v>
      </c>
      <c r="S60" s="35" t="str">
        <f t="shared" si="3"/>
        <v>Afghanistan</v>
      </c>
    </row>
    <row r="61" spans="1:19" s="28" customFormat="1">
      <c r="A61" s="33">
        <v>60</v>
      </c>
      <c r="B61" s="34" t="s">
        <v>209</v>
      </c>
      <c r="C61" s="35" t="s">
        <v>67</v>
      </c>
      <c r="D61" s="35" t="s">
        <v>77</v>
      </c>
      <c r="E61" s="35" t="s">
        <v>120</v>
      </c>
      <c r="F61" s="35" t="s">
        <v>119</v>
      </c>
      <c r="G61" s="35" t="s">
        <v>67</v>
      </c>
      <c r="H61" s="35" t="s">
        <v>48</v>
      </c>
      <c r="I61" s="35">
        <v>242</v>
      </c>
      <c r="J61" s="35">
        <v>3</v>
      </c>
      <c r="K61" s="35">
        <v>45.2</v>
      </c>
      <c r="L61" s="35">
        <v>5.33</v>
      </c>
      <c r="M61" s="35">
        <v>24</v>
      </c>
      <c r="N61" s="35">
        <v>11</v>
      </c>
      <c r="O61" s="35" t="s">
        <v>184</v>
      </c>
      <c r="P61" s="35" t="str">
        <f t="shared" si="2"/>
        <v>Afghanistan</v>
      </c>
      <c r="Q61" s="35" t="s">
        <v>145</v>
      </c>
      <c r="R61" s="36" t="s">
        <v>67</v>
      </c>
      <c r="S61" s="35" t="str">
        <f t="shared" si="3"/>
        <v>Afghanistan</v>
      </c>
    </row>
    <row r="62" spans="1:19" s="28" customFormat="1">
      <c r="A62" s="33">
        <v>61</v>
      </c>
      <c r="B62" s="34" t="s">
        <v>210</v>
      </c>
      <c r="C62" s="35" t="s">
        <v>68</v>
      </c>
      <c r="D62" s="35" t="s">
        <v>57</v>
      </c>
      <c r="E62" s="35" t="s">
        <v>56</v>
      </c>
      <c r="F62" s="35" t="s">
        <v>141</v>
      </c>
      <c r="G62" s="35" t="s">
        <v>68</v>
      </c>
      <c r="H62" s="35" t="s">
        <v>87</v>
      </c>
      <c r="I62" s="35">
        <v>205</v>
      </c>
      <c r="J62" s="35">
        <v>3</v>
      </c>
      <c r="K62" s="35">
        <v>32.299999999999997</v>
      </c>
      <c r="L62" s="35">
        <v>6.3</v>
      </c>
      <c r="M62" s="35">
        <v>22</v>
      </c>
      <c r="N62" s="35">
        <v>4</v>
      </c>
      <c r="O62" s="35" t="s">
        <v>183</v>
      </c>
      <c r="P62" s="35" t="str">
        <f t="shared" si="2"/>
        <v>Pakistan</v>
      </c>
      <c r="Q62" s="35" t="s">
        <v>147</v>
      </c>
      <c r="R62" s="36" t="s">
        <v>57</v>
      </c>
      <c r="S62" s="35" t="str">
        <f t="shared" si="3"/>
        <v>No</v>
      </c>
    </row>
    <row r="63" spans="1:19" s="28" customFormat="1">
      <c r="A63" s="33">
        <v>62</v>
      </c>
      <c r="B63" s="34" t="s">
        <v>210</v>
      </c>
      <c r="C63" s="35" t="s">
        <v>57</v>
      </c>
      <c r="D63" s="35" t="s">
        <v>68</v>
      </c>
      <c r="E63" s="35" t="s">
        <v>56</v>
      </c>
      <c r="F63" s="35" t="s">
        <v>141</v>
      </c>
      <c r="G63" s="35" t="s">
        <v>68</v>
      </c>
      <c r="H63" s="35" t="s">
        <v>87</v>
      </c>
      <c r="I63" s="35">
        <v>204</v>
      </c>
      <c r="J63" s="35">
        <v>10</v>
      </c>
      <c r="K63" s="35">
        <v>45.1</v>
      </c>
      <c r="L63" s="35">
        <v>4.51</v>
      </c>
      <c r="M63" s="35">
        <v>28</v>
      </c>
      <c r="N63" s="35">
        <v>9</v>
      </c>
      <c r="O63" s="35" t="s">
        <v>184</v>
      </c>
      <c r="P63" s="35" t="str">
        <f t="shared" si="2"/>
        <v>Pakistan</v>
      </c>
      <c r="Q63" s="35" t="s">
        <v>147</v>
      </c>
      <c r="R63" s="36" t="s">
        <v>57</v>
      </c>
      <c r="S63" s="35" t="str">
        <f t="shared" si="3"/>
        <v>No</v>
      </c>
    </row>
    <row r="64" spans="1:19" s="28" customFormat="1">
      <c r="A64" s="33">
        <v>63</v>
      </c>
      <c r="B64" s="34" t="s">
        <v>211</v>
      </c>
      <c r="C64" s="35" t="s">
        <v>76</v>
      </c>
      <c r="D64" s="35" t="s">
        <v>47</v>
      </c>
      <c r="E64" s="35" t="s">
        <v>120</v>
      </c>
      <c r="F64" s="35" t="s">
        <v>119</v>
      </c>
      <c r="G64" s="35" t="s">
        <v>47</v>
      </c>
      <c r="H64" s="35" t="s">
        <v>48</v>
      </c>
      <c r="I64" s="35">
        <v>357</v>
      </c>
      <c r="J64" s="35">
        <v>4</v>
      </c>
      <c r="K64" s="35">
        <v>50</v>
      </c>
      <c r="L64" s="35">
        <v>7.14</v>
      </c>
      <c r="M64" s="35">
        <v>41</v>
      </c>
      <c r="N64" s="35">
        <v>12</v>
      </c>
      <c r="O64" s="35" t="s">
        <v>184</v>
      </c>
      <c r="P64" s="35" t="str">
        <f t="shared" si="2"/>
        <v>South Africa</v>
      </c>
      <c r="Q64" s="35" t="s">
        <v>149</v>
      </c>
      <c r="R64" s="36" t="s">
        <v>76</v>
      </c>
      <c r="S64" s="35" t="str">
        <f t="shared" si="3"/>
        <v>No</v>
      </c>
    </row>
    <row r="65" spans="1:19" s="28" customFormat="1">
      <c r="A65" s="33">
        <v>64</v>
      </c>
      <c r="B65" s="34" t="s">
        <v>211</v>
      </c>
      <c r="C65" s="35" t="s">
        <v>47</v>
      </c>
      <c r="D65" s="35" t="s">
        <v>76</v>
      </c>
      <c r="E65" s="35" t="s">
        <v>120</v>
      </c>
      <c r="F65" s="35" t="s">
        <v>119</v>
      </c>
      <c r="G65" s="35" t="s">
        <v>47</v>
      </c>
      <c r="H65" s="35" t="s">
        <v>48</v>
      </c>
      <c r="I65" s="35">
        <v>167</v>
      </c>
      <c r="J65" s="35">
        <v>10</v>
      </c>
      <c r="K65" s="35">
        <v>35.299999999999997</v>
      </c>
      <c r="L65" s="35">
        <v>4.7</v>
      </c>
      <c r="M65" s="35">
        <v>21</v>
      </c>
      <c r="N65" s="35">
        <v>12</v>
      </c>
      <c r="O65" s="35" t="s">
        <v>183</v>
      </c>
      <c r="P65" s="35" t="str">
        <f t="shared" si="2"/>
        <v>South Africa</v>
      </c>
      <c r="Q65" s="35" t="s">
        <v>149</v>
      </c>
      <c r="R65" s="36" t="s">
        <v>76</v>
      </c>
      <c r="S65" s="35" t="str">
        <f t="shared" si="3"/>
        <v>No</v>
      </c>
    </row>
    <row r="66" spans="1:19" s="28" customFormat="1">
      <c r="A66" s="33">
        <v>65</v>
      </c>
      <c r="B66" s="34" t="s">
        <v>212</v>
      </c>
      <c r="C66" s="35" t="s">
        <v>86</v>
      </c>
      <c r="D66" s="35" t="s">
        <v>77</v>
      </c>
      <c r="E66" s="35" t="s">
        <v>128</v>
      </c>
      <c r="F66" s="35" t="s">
        <v>127</v>
      </c>
      <c r="G66" s="35" t="s">
        <v>77</v>
      </c>
      <c r="H66" s="35" t="s">
        <v>48</v>
      </c>
      <c r="I66" s="35">
        <v>357</v>
      </c>
      <c r="J66" s="35">
        <v>8</v>
      </c>
      <c r="K66" s="35">
        <v>50</v>
      </c>
      <c r="L66" s="35">
        <v>7.14</v>
      </c>
      <c r="M66" s="35">
        <v>40</v>
      </c>
      <c r="N66" s="35">
        <v>10</v>
      </c>
      <c r="O66" s="35" t="s">
        <v>184</v>
      </c>
      <c r="P66" s="35" t="str">
        <f t="shared" ref="P66:P97" si="4">IF(O66="Win",C66,D66)</f>
        <v>India</v>
      </c>
      <c r="Q66" s="35" t="s">
        <v>132</v>
      </c>
      <c r="R66" s="36" t="s">
        <v>86</v>
      </c>
      <c r="S66" s="35" t="str">
        <f t="shared" ref="S66:S97" si="5">IF(G66=P66,G66,"No")</f>
        <v>No</v>
      </c>
    </row>
    <row r="67" spans="1:19" s="28" customFormat="1">
      <c r="A67" s="33">
        <v>66</v>
      </c>
      <c r="B67" s="34" t="s">
        <v>212</v>
      </c>
      <c r="C67" s="35" t="s">
        <v>77</v>
      </c>
      <c r="D67" s="35" t="s">
        <v>86</v>
      </c>
      <c r="E67" s="35" t="s">
        <v>128</v>
      </c>
      <c r="F67" s="35" t="s">
        <v>127</v>
      </c>
      <c r="G67" s="35" t="s">
        <v>77</v>
      </c>
      <c r="H67" s="35" t="s">
        <v>48</v>
      </c>
      <c r="I67" s="35">
        <v>55</v>
      </c>
      <c r="J67" s="35">
        <v>10</v>
      </c>
      <c r="K67" s="35">
        <v>19.399999999999999</v>
      </c>
      <c r="L67" s="35">
        <v>2.79</v>
      </c>
      <c r="M67" s="35">
        <v>6</v>
      </c>
      <c r="N67" s="35">
        <v>20</v>
      </c>
      <c r="O67" s="35" t="s">
        <v>183</v>
      </c>
      <c r="P67" s="35" t="str">
        <f t="shared" si="4"/>
        <v>India</v>
      </c>
      <c r="Q67" s="35" t="s">
        <v>132</v>
      </c>
      <c r="R67" s="36" t="s">
        <v>86</v>
      </c>
      <c r="S67" s="35" t="str">
        <f t="shared" si="5"/>
        <v>No</v>
      </c>
    </row>
    <row r="68" spans="1:19" s="28" customFormat="1">
      <c r="A68" s="33">
        <v>67</v>
      </c>
      <c r="B68" s="34" t="s">
        <v>213</v>
      </c>
      <c r="C68" s="35" t="s">
        <v>58</v>
      </c>
      <c r="D68" s="35" t="s">
        <v>67</v>
      </c>
      <c r="E68" s="35" t="s">
        <v>105</v>
      </c>
      <c r="F68" s="35" t="s">
        <v>104</v>
      </c>
      <c r="G68" s="35" t="s">
        <v>58</v>
      </c>
      <c r="H68" s="35" t="s">
        <v>87</v>
      </c>
      <c r="I68" s="35">
        <v>181</v>
      </c>
      <c r="J68" s="35">
        <v>3</v>
      </c>
      <c r="K68" s="35">
        <v>31.3</v>
      </c>
      <c r="L68" s="35">
        <v>5.74</v>
      </c>
      <c r="M68" s="35">
        <v>19</v>
      </c>
      <c r="N68" s="35">
        <v>12</v>
      </c>
      <c r="O68" s="35" t="s">
        <v>183</v>
      </c>
      <c r="P68" s="35" t="str">
        <f t="shared" si="4"/>
        <v>Afghanistan</v>
      </c>
      <c r="Q68" s="35" t="s">
        <v>151</v>
      </c>
      <c r="R68" s="36" t="s">
        <v>67</v>
      </c>
      <c r="S68" s="35" t="str">
        <f t="shared" si="5"/>
        <v>No</v>
      </c>
    </row>
    <row r="69" spans="1:19" s="28" customFormat="1">
      <c r="A69" s="33">
        <v>68</v>
      </c>
      <c r="B69" s="34" t="s">
        <v>213</v>
      </c>
      <c r="C69" s="35" t="s">
        <v>67</v>
      </c>
      <c r="D69" s="35" t="s">
        <v>58</v>
      </c>
      <c r="E69" s="35" t="s">
        <v>105</v>
      </c>
      <c r="F69" s="35" t="s">
        <v>104</v>
      </c>
      <c r="G69" s="35" t="s">
        <v>58</v>
      </c>
      <c r="H69" s="35" t="s">
        <v>87</v>
      </c>
      <c r="I69" s="35">
        <v>179</v>
      </c>
      <c r="J69" s="35">
        <v>10</v>
      </c>
      <c r="K69" s="35">
        <v>46.3</v>
      </c>
      <c r="L69" s="35">
        <v>3.84</v>
      </c>
      <c r="M69" s="35">
        <v>21</v>
      </c>
      <c r="N69" s="35">
        <v>16</v>
      </c>
      <c r="O69" s="35" t="s">
        <v>184</v>
      </c>
      <c r="P69" s="35" t="str">
        <f t="shared" si="4"/>
        <v>Afghanistan</v>
      </c>
      <c r="Q69" s="35" t="s">
        <v>151</v>
      </c>
      <c r="R69" s="36" t="s">
        <v>67</v>
      </c>
      <c r="S69" s="35" t="str">
        <f t="shared" si="5"/>
        <v>No</v>
      </c>
    </row>
    <row r="70" spans="1:19" s="28" customFormat="1">
      <c r="A70" s="33">
        <v>69</v>
      </c>
      <c r="B70" s="34" t="s">
        <v>214</v>
      </c>
      <c r="C70" s="35" t="s">
        <v>47</v>
      </c>
      <c r="D70" s="35" t="s">
        <v>57</v>
      </c>
      <c r="E70" s="35" t="s">
        <v>123</v>
      </c>
      <c r="F70" s="35" t="s">
        <v>122</v>
      </c>
      <c r="G70" s="35" t="s">
        <v>57</v>
      </c>
      <c r="H70" s="35" t="s">
        <v>48</v>
      </c>
      <c r="I70" s="35">
        <v>401</v>
      </c>
      <c r="J70" s="35">
        <v>6</v>
      </c>
      <c r="K70" s="35">
        <v>50</v>
      </c>
      <c r="L70" s="35">
        <v>8.02</v>
      </c>
      <c r="M70" s="35">
        <v>54</v>
      </c>
      <c r="N70" s="35">
        <v>4</v>
      </c>
      <c r="O70" s="35" t="s">
        <v>183</v>
      </c>
      <c r="P70" s="35" t="str">
        <f t="shared" si="4"/>
        <v>Pakistan</v>
      </c>
      <c r="Q70" s="35" t="s">
        <v>147</v>
      </c>
      <c r="R70" s="36" t="s">
        <v>57</v>
      </c>
      <c r="S70" s="35" t="str">
        <f t="shared" si="5"/>
        <v>Pakistan</v>
      </c>
    </row>
    <row r="71" spans="1:19" s="28" customFormat="1">
      <c r="A71" s="33">
        <v>70</v>
      </c>
      <c r="B71" s="34" t="s">
        <v>214</v>
      </c>
      <c r="C71" s="35" t="s">
        <v>57</v>
      </c>
      <c r="D71" s="35" t="s">
        <v>47</v>
      </c>
      <c r="E71" s="35" t="s">
        <v>123</v>
      </c>
      <c r="F71" s="35" t="s">
        <v>122</v>
      </c>
      <c r="G71" s="35" t="s">
        <v>57</v>
      </c>
      <c r="H71" s="35" t="s">
        <v>48</v>
      </c>
      <c r="I71" s="35">
        <v>200</v>
      </c>
      <c r="J71" s="35">
        <v>1</v>
      </c>
      <c r="K71" s="35">
        <v>25.3</v>
      </c>
      <c r="L71" s="35">
        <v>7.84</v>
      </c>
      <c r="M71" s="35">
        <v>28</v>
      </c>
      <c r="N71" s="35">
        <v>26</v>
      </c>
      <c r="O71" s="35" t="s">
        <v>184</v>
      </c>
      <c r="P71" s="35" t="str">
        <f t="shared" si="4"/>
        <v>Pakistan</v>
      </c>
      <c r="Q71" s="35" t="s">
        <v>147</v>
      </c>
      <c r="R71" s="36" t="s">
        <v>57</v>
      </c>
      <c r="S71" s="35" t="str">
        <f t="shared" si="5"/>
        <v>Pakistan</v>
      </c>
    </row>
    <row r="72" spans="1:19" s="28" customFormat="1">
      <c r="A72" s="33">
        <v>71</v>
      </c>
      <c r="B72" s="34" t="s">
        <v>214</v>
      </c>
      <c r="C72" s="35" t="s">
        <v>85</v>
      </c>
      <c r="D72" s="35" t="s">
        <v>46</v>
      </c>
      <c r="E72" s="35" t="s">
        <v>45</v>
      </c>
      <c r="F72" s="35" t="s">
        <v>44</v>
      </c>
      <c r="G72" s="35" t="s">
        <v>46</v>
      </c>
      <c r="H72" s="35" t="s">
        <v>48</v>
      </c>
      <c r="I72" s="35">
        <v>286</v>
      </c>
      <c r="J72" s="35">
        <v>10</v>
      </c>
      <c r="K72" s="35">
        <v>49.3</v>
      </c>
      <c r="L72" s="35">
        <v>5.77</v>
      </c>
      <c r="M72" s="35">
        <v>28</v>
      </c>
      <c r="N72" s="35">
        <v>14</v>
      </c>
      <c r="O72" s="35" t="s">
        <v>184</v>
      </c>
      <c r="P72" s="35" t="str">
        <f t="shared" si="4"/>
        <v>Australia</v>
      </c>
      <c r="Q72" s="35" t="s">
        <v>114</v>
      </c>
      <c r="R72" s="36" t="s">
        <v>85</v>
      </c>
      <c r="S72" s="35" t="str">
        <f t="shared" si="5"/>
        <v>No</v>
      </c>
    </row>
    <row r="73" spans="1:19" s="28" customFormat="1">
      <c r="A73" s="33">
        <v>72</v>
      </c>
      <c r="B73" s="34" t="s">
        <v>214</v>
      </c>
      <c r="C73" s="35" t="s">
        <v>46</v>
      </c>
      <c r="D73" s="35" t="s">
        <v>85</v>
      </c>
      <c r="E73" s="35" t="s">
        <v>45</v>
      </c>
      <c r="F73" s="35" t="s">
        <v>44</v>
      </c>
      <c r="G73" s="35" t="s">
        <v>46</v>
      </c>
      <c r="H73" s="35" t="s">
        <v>48</v>
      </c>
      <c r="I73" s="35">
        <v>253</v>
      </c>
      <c r="J73" s="35">
        <v>10</v>
      </c>
      <c r="K73" s="35">
        <v>48.1</v>
      </c>
      <c r="L73" s="35">
        <v>5.25</v>
      </c>
      <c r="M73" s="35">
        <v>28</v>
      </c>
      <c r="N73" s="35">
        <v>10</v>
      </c>
      <c r="O73" s="35" t="s">
        <v>183</v>
      </c>
      <c r="P73" s="35" t="str">
        <f t="shared" si="4"/>
        <v>Australia</v>
      </c>
      <c r="Q73" s="35" t="s">
        <v>114</v>
      </c>
      <c r="R73" s="36" t="s">
        <v>85</v>
      </c>
      <c r="S73" s="35" t="str">
        <f t="shared" si="5"/>
        <v>No</v>
      </c>
    </row>
    <row r="74" spans="1:19" s="28" customFormat="1">
      <c r="A74" s="33">
        <v>73</v>
      </c>
      <c r="B74" s="34" t="s">
        <v>215</v>
      </c>
      <c r="C74" s="35" t="s">
        <v>86</v>
      </c>
      <c r="D74" s="35" t="s">
        <v>76</v>
      </c>
      <c r="E74" s="35" t="s">
        <v>56</v>
      </c>
      <c r="F74" s="35" t="s">
        <v>141</v>
      </c>
      <c r="G74" s="35" t="s">
        <v>86</v>
      </c>
      <c r="H74" s="35" t="s">
        <v>87</v>
      </c>
      <c r="I74" s="35">
        <v>326</v>
      </c>
      <c r="J74" s="35">
        <v>5</v>
      </c>
      <c r="K74" s="35">
        <v>50</v>
      </c>
      <c r="L74" s="35">
        <v>6.52</v>
      </c>
      <c r="M74" s="35">
        <v>41</v>
      </c>
      <c r="N74" s="35">
        <v>2</v>
      </c>
      <c r="O74" s="35" t="s">
        <v>184</v>
      </c>
      <c r="P74" s="35" t="str">
        <f t="shared" si="4"/>
        <v>India</v>
      </c>
      <c r="Q74" s="35" t="s">
        <v>121</v>
      </c>
      <c r="R74" s="36" t="s">
        <v>86</v>
      </c>
      <c r="S74" s="35" t="str">
        <f t="shared" si="5"/>
        <v>India</v>
      </c>
    </row>
    <row r="75" spans="1:19" s="28" customFormat="1">
      <c r="A75" s="33">
        <v>74</v>
      </c>
      <c r="B75" s="34" t="s">
        <v>215</v>
      </c>
      <c r="C75" s="35" t="s">
        <v>76</v>
      </c>
      <c r="D75" s="35" t="s">
        <v>86</v>
      </c>
      <c r="E75" s="35" t="s">
        <v>56</v>
      </c>
      <c r="F75" s="35" t="s">
        <v>141</v>
      </c>
      <c r="G75" s="35" t="s">
        <v>86</v>
      </c>
      <c r="H75" s="35" t="s">
        <v>87</v>
      </c>
      <c r="I75" s="35">
        <v>83</v>
      </c>
      <c r="J75" s="35">
        <v>10</v>
      </c>
      <c r="K75" s="35">
        <v>27.1</v>
      </c>
      <c r="L75" s="35">
        <v>3.05</v>
      </c>
      <c r="M75" s="35">
        <v>10</v>
      </c>
      <c r="N75" s="35">
        <v>26</v>
      </c>
      <c r="O75" s="35" t="s">
        <v>183</v>
      </c>
      <c r="P75" s="35" t="str">
        <f t="shared" si="4"/>
        <v>India</v>
      </c>
      <c r="Q75" s="35" t="s">
        <v>121</v>
      </c>
      <c r="R75" s="36" t="s">
        <v>86</v>
      </c>
      <c r="S75" s="35" t="str">
        <f t="shared" si="5"/>
        <v>India</v>
      </c>
    </row>
    <row r="76" spans="1:19" s="28" customFormat="1">
      <c r="A76" s="33">
        <v>75</v>
      </c>
      <c r="B76" s="34" t="s">
        <v>216</v>
      </c>
      <c r="C76" s="35" t="s">
        <v>77</v>
      </c>
      <c r="D76" s="35" t="s">
        <v>68</v>
      </c>
      <c r="E76" s="35" t="s">
        <v>75</v>
      </c>
      <c r="F76" s="35" t="s">
        <v>74</v>
      </c>
      <c r="G76" s="35" t="s">
        <v>68</v>
      </c>
      <c r="H76" s="35" t="s">
        <v>48</v>
      </c>
      <c r="I76" s="35">
        <v>279</v>
      </c>
      <c r="J76" s="35">
        <v>10</v>
      </c>
      <c r="K76" s="35">
        <v>49.3</v>
      </c>
      <c r="L76" s="35">
        <v>5.63</v>
      </c>
      <c r="M76" s="35">
        <v>34</v>
      </c>
      <c r="N76" s="35">
        <v>23</v>
      </c>
      <c r="O76" s="35" t="s">
        <v>183</v>
      </c>
      <c r="P76" s="35" t="str">
        <f t="shared" si="4"/>
        <v>Bangladesh</v>
      </c>
      <c r="Q76" s="35" t="s">
        <v>156</v>
      </c>
      <c r="R76" s="36" t="s">
        <v>68</v>
      </c>
      <c r="S76" s="35" t="str">
        <f t="shared" si="5"/>
        <v>Bangladesh</v>
      </c>
    </row>
    <row r="77" spans="1:19" s="28" customFormat="1">
      <c r="A77" s="33">
        <v>76</v>
      </c>
      <c r="B77" s="34" t="s">
        <v>216</v>
      </c>
      <c r="C77" s="35" t="s">
        <v>68</v>
      </c>
      <c r="D77" s="35" t="s">
        <v>77</v>
      </c>
      <c r="E77" s="35" t="s">
        <v>75</v>
      </c>
      <c r="F77" s="35" t="s">
        <v>74</v>
      </c>
      <c r="G77" s="35" t="s">
        <v>68</v>
      </c>
      <c r="H77" s="35" t="s">
        <v>48</v>
      </c>
      <c r="I77" s="35">
        <v>282</v>
      </c>
      <c r="J77" s="35">
        <v>7</v>
      </c>
      <c r="K77" s="35">
        <v>41.1</v>
      </c>
      <c r="L77" s="35">
        <v>6.85</v>
      </c>
      <c r="M77" s="35">
        <v>40</v>
      </c>
      <c r="N77" s="35">
        <v>6</v>
      </c>
      <c r="O77" s="35" t="s">
        <v>184</v>
      </c>
      <c r="P77" s="35" t="str">
        <f t="shared" si="4"/>
        <v>Bangladesh</v>
      </c>
      <c r="Q77" s="35" t="s">
        <v>156</v>
      </c>
      <c r="R77" s="36" t="s">
        <v>68</v>
      </c>
      <c r="S77" s="35" t="str">
        <f t="shared" si="5"/>
        <v>Bangladesh</v>
      </c>
    </row>
    <row r="78" spans="1:19" s="28" customFormat="1">
      <c r="A78" s="33">
        <v>77</v>
      </c>
      <c r="B78" s="34" t="s">
        <v>217</v>
      </c>
      <c r="C78" s="35" t="s">
        <v>85</v>
      </c>
      <c r="D78" s="35" t="s">
        <v>67</v>
      </c>
      <c r="E78" s="35" t="s">
        <v>128</v>
      </c>
      <c r="F78" s="35" t="s">
        <v>127</v>
      </c>
      <c r="G78" s="35" t="s">
        <v>67</v>
      </c>
      <c r="H78" s="35" t="s">
        <v>87</v>
      </c>
      <c r="I78" s="35">
        <v>293</v>
      </c>
      <c r="J78" s="35">
        <v>7</v>
      </c>
      <c r="K78" s="35">
        <v>46.5</v>
      </c>
      <c r="L78" s="35">
        <v>6.25</v>
      </c>
      <c r="M78" s="35">
        <v>42</v>
      </c>
      <c r="N78" s="35">
        <v>16</v>
      </c>
      <c r="O78" s="35" t="s">
        <v>184</v>
      </c>
      <c r="P78" s="35" t="str">
        <f>IF(O78="Win",R78,D78)</f>
        <v>Australia</v>
      </c>
      <c r="Q78" s="35" t="s">
        <v>135</v>
      </c>
      <c r="R78" s="36" t="s">
        <v>85</v>
      </c>
      <c r="S78" s="35" t="str">
        <f t="shared" si="5"/>
        <v>No</v>
      </c>
    </row>
    <row r="79" spans="1:19" s="28" customFormat="1">
      <c r="A79" s="33">
        <v>78</v>
      </c>
      <c r="B79" s="34" t="s">
        <v>217</v>
      </c>
      <c r="C79" s="35" t="s">
        <v>67</v>
      </c>
      <c r="D79" s="35" t="s">
        <v>85</v>
      </c>
      <c r="E79" s="35" t="s">
        <v>128</v>
      </c>
      <c r="F79" s="35" t="s">
        <v>127</v>
      </c>
      <c r="G79" s="35" t="s">
        <v>67</v>
      </c>
      <c r="H79" s="35" t="s">
        <v>87</v>
      </c>
      <c r="I79" s="35">
        <v>291</v>
      </c>
      <c r="J79" s="35">
        <v>5</v>
      </c>
      <c r="K79" s="35">
        <v>50</v>
      </c>
      <c r="L79" s="35">
        <v>5.82</v>
      </c>
      <c r="M79" s="35">
        <v>25</v>
      </c>
      <c r="N79" s="35">
        <v>15</v>
      </c>
      <c r="O79" s="35" t="s">
        <v>183</v>
      </c>
      <c r="P79" s="35" t="str">
        <f t="shared" si="4"/>
        <v>Australia</v>
      </c>
      <c r="Q79" s="35" t="s">
        <v>135</v>
      </c>
      <c r="R79" s="36" t="s">
        <v>85</v>
      </c>
      <c r="S79" s="35" t="str">
        <f t="shared" si="5"/>
        <v>No</v>
      </c>
    </row>
    <row r="80" spans="1:19" s="28" customFormat="1">
      <c r="A80" s="33">
        <v>79</v>
      </c>
      <c r="B80" s="34" t="s">
        <v>218</v>
      </c>
      <c r="C80" s="35" t="s">
        <v>46</v>
      </c>
      <c r="D80" s="35" t="s">
        <v>58</v>
      </c>
      <c r="E80" s="35" t="s">
        <v>120</v>
      </c>
      <c r="F80" s="35" t="s">
        <v>119</v>
      </c>
      <c r="G80" s="35" t="s">
        <v>46</v>
      </c>
      <c r="H80" s="35" t="s">
        <v>87</v>
      </c>
      <c r="I80" s="35">
        <v>179</v>
      </c>
      <c r="J80" s="35">
        <v>10</v>
      </c>
      <c r="K80" s="35">
        <v>37.200000000000003</v>
      </c>
      <c r="L80" s="35">
        <v>4.79</v>
      </c>
      <c r="M80" s="35">
        <v>36</v>
      </c>
      <c r="N80" s="35">
        <v>8</v>
      </c>
      <c r="O80" s="35" t="s">
        <v>184</v>
      </c>
      <c r="P80" s="35" t="str">
        <f t="shared" si="4"/>
        <v>England</v>
      </c>
      <c r="Q80" s="35" t="s">
        <v>158</v>
      </c>
      <c r="R80" s="36" t="s">
        <v>46</v>
      </c>
      <c r="S80" s="35" t="str">
        <f t="shared" si="5"/>
        <v>England</v>
      </c>
    </row>
    <row r="81" spans="1:19" s="28" customFormat="1">
      <c r="A81" s="33">
        <v>80</v>
      </c>
      <c r="B81" s="34" t="s">
        <v>218</v>
      </c>
      <c r="C81" s="35" t="s">
        <v>58</v>
      </c>
      <c r="D81" s="35" t="s">
        <v>46</v>
      </c>
      <c r="E81" s="35" t="s">
        <v>120</v>
      </c>
      <c r="F81" s="35" t="s">
        <v>119</v>
      </c>
      <c r="G81" s="35" t="s">
        <v>46</v>
      </c>
      <c r="H81" s="35" t="s">
        <v>87</v>
      </c>
      <c r="I81" s="35">
        <v>339</v>
      </c>
      <c r="J81" s="35">
        <v>9</v>
      </c>
      <c r="K81" s="35">
        <v>50</v>
      </c>
      <c r="L81" s="35">
        <v>6.78</v>
      </c>
      <c r="M81" s="35">
        <v>21</v>
      </c>
      <c r="N81" s="35">
        <v>21</v>
      </c>
      <c r="O81" s="35" t="s">
        <v>183</v>
      </c>
      <c r="P81" s="35" t="str">
        <f t="shared" si="4"/>
        <v>England</v>
      </c>
      <c r="Q81" s="35" t="s">
        <v>158</v>
      </c>
      <c r="R81" s="36" t="s">
        <v>46</v>
      </c>
      <c r="S81" s="35" t="str">
        <f t="shared" si="5"/>
        <v>England</v>
      </c>
    </row>
    <row r="82" spans="1:19" s="28" customFormat="1">
      <c r="A82" s="33">
        <v>81</v>
      </c>
      <c r="B82" s="34" t="s">
        <v>219</v>
      </c>
      <c r="C82" s="35" t="s">
        <v>47</v>
      </c>
      <c r="D82" s="35" t="s">
        <v>77</v>
      </c>
      <c r="E82" s="35" t="s">
        <v>123</v>
      </c>
      <c r="F82" s="35" t="s">
        <v>122</v>
      </c>
      <c r="G82" s="35" t="s">
        <v>47</v>
      </c>
      <c r="H82" s="35" t="s">
        <v>48</v>
      </c>
      <c r="I82" s="35">
        <v>171</v>
      </c>
      <c r="J82" s="35">
        <v>10</v>
      </c>
      <c r="K82" s="35">
        <v>46.4</v>
      </c>
      <c r="L82" s="35">
        <v>3.66</v>
      </c>
      <c r="M82" s="35">
        <v>28</v>
      </c>
      <c r="N82" s="35">
        <v>4</v>
      </c>
      <c r="O82" s="35" t="s">
        <v>184</v>
      </c>
      <c r="P82" s="35" t="str">
        <f t="shared" si="4"/>
        <v>NewZealand</v>
      </c>
      <c r="Q82" s="35" t="s">
        <v>159</v>
      </c>
      <c r="R82" s="36" t="s">
        <v>47</v>
      </c>
      <c r="S82" s="35" t="str">
        <f t="shared" si="5"/>
        <v>NewZealand</v>
      </c>
    </row>
    <row r="83" spans="1:19" s="28" customFormat="1">
      <c r="A83" s="33">
        <v>82</v>
      </c>
      <c r="B83" s="34" t="s">
        <v>219</v>
      </c>
      <c r="C83" s="35" t="s">
        <v>77</v>
      </c>
      <c r="D83" s="35" t="s">
        <v>47</v>
      </c>
      <c r="E83" s="35" t="s">
        <v>123</v>
      </c>
      <c r="F83" s="35" t="s">
        <v>122</v>
      </c>
      <c r="G83" s="35" t="s">
        <v>47</v>
      </c>
      <c r="H83" s="35" t="s">
        <v>48</v>
      </c>
      <c r="I83" s="35">
        <v>172</v>
      </c>
      <c r="J83" s="35">
        <v>5</v>
      </c>
      <c r="K83" s="35">
        <v>23.2</v>
      </c>
      <c r="L83" s="35">
        <v>7.37</v>
      </c>
      <c r="M83" s="35">
        <v>24</v>
      </c>
      <c r="N83" s="35">
        <v>2</v>
      </c>
      <c r="O83" s="35" t="s">
        <v>183</v>
      </c>
      <c r="P83" s="35" t="str">
        <f t="shared" si="4"/>
        <v>NewZealand</v>
      </c>
      <c r="Q83" s="35" t="s">
        <v>159</v>
      </c>
      <c r="R83" s="36" t="s">
        <v>47</v>
      </c>
      <c r="S83" s="35" t="str">
        <f t="shared" si="5"/>
        <v>NewZealand</v>
      </c>
    </row>
    <row r="84" spans="1:19" s="28" customFormat="1">
      <c r="A84" s="33">
        <v>83</v>
      </c>
      <c r="B84" s="34" t="s">
        <v>220</v>
      </c>
      <c r="C84" s="35" t="s">
        <v>67</v>
      </c>
      <c r="D84" s="35" t="s">
        <v>76</v>
      </c>
      <c r="E84" s="35" t="s">
        <v>45</v>
      </c>
      <c r="F84" s="35" t="s">
        <v>44</v>
      </c>
      <c r="G84" s="35" t="s">
        <v>67</v>
      </c>
      <c r="H84" s="35" t="s">
        <v>87</v>
      </c>
      <c r="I84" s="35">
        <v>244</v>
      </c>
      <c r="J84" s="35">
        <v>10</v>
      </c>
      <c r="K84" s="35">
        <v>50</v>
      </c>
      <c r="L84" s="35">
        <v>4.88</v>
      </c>
      <c r="M84" s="35">
        <v>26</v>
      </c>
      <c r="N84" s="35">
        <v>9</v>
      </c>
      <c r="O84" s="35" t="s">
        <v>183</v>
      </c>
      <c r="P84" s="35" t="str">
        <f t="shared" si="4"/>
        <v>South Africa</v>
      </c>
      <c r="Q84" s="35" t="s">
        <v>149</v>
      </c>
      <c r="R84" s="36" t="s">
        <v>76</v>
      </c>
      <c r="S84" s="35" t="str">
        <f t="shared" si="5"/>
        <v>No</v>
      </c>
    </row>
    <row r="85" spans="1:19" s="28" customFormat="1">
      <c r="A85" s="33">
        <v>84</v>
      </c>
      <c r="B85" s="34" t="s">
        <v>220</v>
      </c>
      <c r="C85" s="35" t="s">
        <v>76</v>
      </c>
      <c r="D85" s="35" t="s">
        <v>67</v>
      </c>
      <c r="E85" s="35" t="s">
        <v>45</v>
      </c>
      <c r="F85" s="35" t="s">
        <v>44</v>
      </c>
      <c r="G85" s="35" t="s">
        <v>67</v>
      </c>
      <c r="H85" s="35" t="s">
        <v>87</v>
      </c>
      <c r="I85" s="35">
        <v>247</v>
      </c>
      <c r="J85" s="35">
        <v>5</v>
      </c>
      <c r="K85" s="35">
        <v>47.3</v>
      </c>
      <c r="L85" s="35">
        <v>5.2</v>
      </c>
      <c r="M85" s="35">
        <v>24</v>
      </c>
      <c r="N85" s="35">
        <v>15</v>
      </c>
      <c r="O85" s="35" t="s">
        <v>184</v>
      </c>
      <c r="P85" s="35" t="str">
        <f t="shared" si="4"/>
        <v>South Africa</v>
      </c>
      <c r="Q85" s="35" t="s">
        <v>149</v>
      </c>
      <c r="R85" s="36" t="s">
        <v>76</v>
      </c>
      <c r="S85" s="35" t="str">
        <f t="shared" si="5"/>
        <v>No</v>
      </c>
    </row>
    <row r="86" spans="1:19" s="28" customFormat="1">
      <c r="A86" s="33">
        <v>85</v>
      </c>
      <c r="B86" s="34" t="s">
        <v>221</v>
      </c>
      <c r="C86" s="35" t="s">
        <v>85</v>
      </c>
      <c r="D86" s="35" t="s">
        <v>68</v>
      </c>
      <c r="E86" s="35" t="s">
        <v>120</v>
      </c>
      <c r="F86" s="35" t="s">
        <v>119</v>
      </c>
      <c r="G86" s="35" t="s">
        <v>85</v>
      </c>
      <c r="H86" s="35" t="s">
        <v>48</v>
      </c>
      <c r="I86" s="35">
        <v>306</v>
      </c>
      <c r="J86" s="35">
        <v>8</v>
      </c>
      <c r="K86" s="35">
        <v>50</v>
      </c>
      <c r="L86" s="35">
        <v>6.12</v>
      </c>
      <c r="M86" s="35">
        <v>39</v>
      </c>
      <c r="N86" s="35">
        <v>24</v>
      </c>
      <c r="O86" s="35" t="s">
        <v>184</v>
      </c>
      <c r="P86" s="35" t="str">
        <f t="shared" si="4"/>
        <v>Australia</v>
      </c>
      <c r="Q86" s="35" t="s">
        <v>161</v>
      </c>
      <c r="R86" s="36" t="s">
        <v>85</v>
      </c>
      <c r="S86" s="35" t="str">
        <f t="shared" si="5"/>
        <v>Australia</v>
      </c>
    </row>
    <row r="87" spans="1:19" s="28" customFormat="1">
      <c r="A87" s="33">
        <v>86</v>
      </c>
      <c r="B87" s="34" t="s">
        <v>221</v>
      </c>
      <c r="C87" s="35" t="s">
        <v>68</v>
      </c>
      <c r="D87" s="35" t="s">
        <v>85</v>
      </c>
      <c r="E87" s="35" t="s">
        <v>120</v>
      </c>
      <c r="F87" s="35" t="s">
        <v>119</v>
      </c>
      <c r="G87" s="35" t="s">
        <v>85</v>
      </c>
      <c r="H87" s="35" t="s">
        <v>48</v>
      </c>
      <c r="I87" s="35">
        <v>307</v>
      </c>
      <c r="J87" s="35">
        <v>2</v>
      </c>
      <c r="K87" s="35">
        <v>44.4</v>
      </c>
      <c r="L87" s="35">
        <v>6.87</v>
      </c>
      <c r="M87" s="35">
        <v>33</v>
      </c>
      <c r="N87" s="35">
        <v>4</v>
      </c>
      <c r="O87" s="35" t="s">
        <v>183</v>
      </c>
      <c r="P87" s="35" t="str">
        <f t="shared" si="4"/>
        <v>Australia</v>
      </c>
      <c r="Q87" s="35" t="s">
        <v>161</v>
      </c>
      <c r="R87" s="36" t="s">
        <v>85</v>
      </c>
      <c r="S87" s="35" t="str">
        <f t="shared" si="5"/>
        <v>Australia</v>
      </c>
    </row>
    <row r="88" spans="1:19" s="28" customFormat="1">
      <c r="A88" s="33">
        <v>87</v>
      </c>
      <c r="B88" s="34" t="s">
        <v>221</v>
      </c>
      <c r="C88" s="35" t="s">
        <v>46</v>
      </c>
      <c r="D88" s="35" t="s">
        <v>57</v>
      </c>
      <c r="E88" s="35" t="s">
        <v>56</v>
      </c>
      <c r="F88" s="35" t="s">
        <v>141</v>
      </c>
      <c r="G88" s="35" t="s">
        <v>46</v>
      </c>
      <c r="H88" s="35" t="s">
        <v>87</v>
      </c>
      <c r="I88" s="35">
        <v>244</v>
      </c>
      <c r="J88" s="35">
        <v>10</v>
      </c>
      <c r="K88" s="35">
        <v>50</v>
      </c>
      <c r="L88" s="35">
        <v>6.74</v>
      </c>
      <c r="M88" s="35">
        <v>33</v>
      </c>
      <c r="N88" s="35">
        <v>19</v>
      </c>
      <c r="O88" s="35" t="s">
        <v>184</v>
      </c>
      <c r="P88" s="35" t="str">
        <f t="shared" si="4"/>
        <v>England</v>
      </c>
      <c r="Q88" s="35" t="s">
        <v>163</v>
      </c>
      <c r="R88" s="36" t="s">
        <v>46</v>
      </c>
      <c r="S88" s="35" t="str">
        <f t="shared" si="5"/>
        <v>England</v>
      </c>
    </row>
    <row r="89" spans="1:19" s="28" customFormat="1">
      <c r="A89" s="33">
        <v>88</v>
      </c>
      <c r="B89" s="34" t="s">
        <v>221</v>
      </c>
      <c r="C89" s="35" t="s">
        <v>57</v>
      </c>
      <c r="D89" s="35" t="s">
        <v>46</v>
      </c>
      <c r="E89" s="35" t="s">
        <v>56</v>
      </c>
      <c r="F89" s="35" t="s">
        <v>141</v>
      </c>
      <c r="G89" s="35" t="s">
        <v>46</v>
      </c>
      <c r="H89" s="35" t="s">
        <v>87</v>
      </c>
      <c r="I89" s="35">
        <v>337</v>
      </c>
      <c r="J89" s="35">
        <v>9</v>
      </c>
      <c r="K89" s="35">
        <v>43.3</v>
      </c>
      <c r="L89" s="35">
        <v>5.6</v>
      </c>
      <c r="M89" s="35">
        <v>43</v>
      </c>
      <c r="N89" s="35">
        <v>6</v>
      </c>
      <c r="O89" s="35" t="s">
        <v>183</v>
      </c>
      <c r="P89" s="35" t="str">
        <f t="shared" si="4"/>
        <v>England</v>
      </c>
      <c r="Q89" s="35" t="s">
        <v>163</v>
      </c>
      <c r="R89" s="36" t="s">
        <v>46</v>
      </c>
      <c r="S89" s="35" t="str">
        <f t="shared" si="5"/>
        <v>England</v>
      </c>
    </row>
    <row r="90" spans="1:19" s="28" customFormat="1">
      <c r="A90" s="33">
        <v>89</v>
      </c>
      <c r="B90" s="34" t="s">
        <v>222</v>
      </c>
      <c r="C90" s="35" t="s">
        <v>86</v>
      </c>
      <c r="D90" s="35" t="s">
        <v>58</v>
      </c>
      <c r="E90" s="35" t="s">
        <v>123</v>
      </c>
      <c r="F90" s="35" t="s">
        <v>122</v>
      </c>
      <c r="G90" s="35" t="s">
        <v>86</v>
      </c>
      <c r="H90" s="35" t="s">
        <v>87</v>
      </c>
      <c r="I90" s="35">
        <v>410</v>
      </c>
      <c r="J90" s="35">
        <v>4</v>
      </c>
      <c r="K90" s="35">
        <v>50</v>
      </c>
      <c r="L90" s="35">
        <v>8.1999999999999993</v>
      </c>
      <c r="M90" s="35">
        <v>53</v>
      </c>
      <c r="N90" s="35">
        <v>13</v>
      </c>
      <c r="O90" s="35" t="s">
        <v>184</v>
      </c>
      <c r="P90" s="35" t="str">
        <f t="shared" si="4"/>
        <v>India</v>
      </c>
      <c r="Q90" s="35" t="s">
        <v>164</v>
      </c>
      <c r="R90" s="36" t="s">
        <v>86</v>
      </c>
      <c r="S90" s="35" t="str">
        <f t="shared" si="5"/>
        <v>India</v>
      </c>
    </row>
    <row r="91" spans="1:19" s="28" customFormat="1">
      <c r="A91" s="33">
        <v>90</v>
      </c>
      <c r="B91" s="34" t="s">
        <v>222</v>
      </c>
      <c r="C91" s="35" t="s">
        <v>58</v>
      </c>
      <c r="D91" s="35" t="s">
        <v>86</v>
      </c>
      <c r="E91" s="35" t="s">
        <v>123</v>
      </c>
      <c r="F91" s="35" t="s">
        <v>122</v>
      </c>
      <c r="G91" s="35" t="s">
        <v>86</v>
      </c>
      <c r="H91" s="35" t="s">
        <v>87</v>
      </c>
      <c r="I91" s="35">
        <v>250</v>
      </c>
      <c r="J91" s="35">
        <v>10</v>
      </c>
      <c r="K91" s="35">
        <v>47.5</v>
      </c>
      <c r="L91" s="35">
        <v>5.22</v>
      </c>
      <c r="M91" s="35">
        <v>28</v>
      </c>
      <c r="N91" s="35">
        <v>15</v>
      </c>
      <c r="O91" s="35" t="s">
        <v>183</v>
      </c>
      <c r="P91" s="35" t="str">
        <f t="shared" si="4"/>
        <v>India</v>
      </c>
      <c r="Q91" s="35" t="s">
        <v>164</v>
      </c>
      <c r="R91" s="36" t="s">
        <v>86</v>
      </c>
      <c r="S91" s="35" t="str">
        <f t="shared" si="5"/>
        <v>India</v>
      </c>
    </row>
    <row r="92" spans="1:19" s="28" customFormat="1">
      <c r="A92" s="33">
        <v>91</v>
      </c>
      <c r="B92" s="34" t="s">
        <v>223</v>
      </c>
      <c r="C92" s="35" t="s">
        <v>86</v>
      </c>
      <c r="D92" s="35" t="s">
        <v>47</v>
      </c>
      <c r="E92" s="35" t="s">
        <v>128</v>
      </c>
      <c r="F92" s="35" t="s">
        <v>127</v>
      </c>
      <c r="G92" s="35" t="s">
        <v>86</v>
      </c>
      <c r="H92" s="35" t="s">
        <v>87</v>
      </c>
      <c r="I92" s="35">
        <v>397</v>
      </c>
      <c r="J92" s="35">
        <v>4</v>
      </c>
      <c r="K92" s="35">
        <v>50</v>
      </c>
      <c r="L92" s="35">
        <v>7.94</v>
      </c>
      <c r="M92" s="35">
        <v>49</v>
      </c>
      <c r="N92" s="35">
        <v>29</v>
      </c>
      <c r="O92" s="35" t="s">
        <v>184</v>
      </c>
      <c r="P92" s="35" t="str">
        <f t="shared" si="4"/>
        <v>India</v>
      </c>
      <c r="Q92" s="35" t="s">
        <v>132</v>
      </c>
      <c r="R92" s="36" t="s">
        <v>86</v>
      </c>
      <c r="S92" s="35" t="str">
        <f t="shared" si="5"/>
        <v>India</v>
      </c>
    </row>
    <row r="93" spans="1:19" s="28" customFormat="1">
      <c r="A93" s="33">
        <v>92</v>
      </c>
      <c r="B93" s="34" t="s">
        <v>223</v>
      </c>
      <c r="C93" s="35" t="s">
        <v>47</v>
      </c>
      <c r="D93" s="35" t="s">
        <v>86</v>
      </c>
      <c r="E93" s="35" t="s">
        <v>128</v>
      </c>
      <c r="F93" s="35" t="s">
        <v>127</v>
      </c>
      <c r="G93" s="35" t="s">
        <v>86</v>
      </c>
      <c r="H93" s="35" t="s">
        <v>87</v>
      </c>
      <c r="I93" s="35">
        <v>327</v>
      </c>
      <c r="J93" s="35">
        <v>10</v>
      </c>
      <c r="K93" s="35">
        <v>48.5</v>
      </c>
      <c r="L93" s="35">
        <v>6.69</v>
      </c>
      <c r="M93" s="35">
        <v>40</v>
      </c>
      <c r="N93" s="35">
        <v>8</v>
      </c>
      <c r="O93" s="35" t="s">
        <v>183</v>
      </c>
      <c r="P93" s="35" t="str">
        <f t="shared" si="4"/>
        <v>India</v>
      </c>
      <c r="Q93" s="35" t="s">
        <v>132</v>
      </c>
      <c r="R93" s="36" t="s">
        <v>86</v>
      </c>
      <c r="S93" s="35" t="str">
        <f t="shared" si="5"/>
        <v>India</v>
      </c>
    </row>
    <row r="94" spans="1:19" s="28" customFormat="1">
      <c r="A94" s="33">
        <v>93</v>
      </c>
      <c r="B94" s="34" t="s">
        <v>224</v>
      </c>
      <c r="C94" s="35" t="s">
        <v>85</v>
      </c>
      <c r="D94" s="35" t="s">
        <v>76</v>
      </c>
      <c r="E94" s="35" t="s">
        <v>56</v>
      </c>
      <c r="F94" s="35" t="s">
        <v>141</v>
      </c>
      <c r="G94" s="35" t="s">
        <v>76</v>
      </c>
      <c r="H94" s="35" t="s">
        <v>87</v>
      </c>
      <c r="I94" s="35">
        <v>215</v>
      </c>
      <c r="J94" s="35">
        <v>7</v>
      </c>
      <c r="K94" s="35">
        <v>47.2</v>
      </c>
      <c r="L94" s="35">
        <v>4.54</v>
      </c>
      <c r="M94" s="35">
        <v>27</v>
      </c>
      <c r="N94" s="35">
        <v>11</v>
      </c>
      <c r="O94" s="35" t="s">
        <v>184</v>
      </c>
      <c r="P94" s="35" t="str">
        <f t="shared" si="4"/>
        <v>Australia</v>
      </c>
      <c r="Q94" s="35" t="s">
        <v>140</v>
      </c>
      <c r="R94" s="36" t="s">
        <v>85</v>
      </c>
      <c r="S94" s="35" t="str">
        <f t="shared" si="5"/>
        <v>No</v>
      </c>
    </row>
    <row r="95" spans="1:19" s="28" customFormat="1">
      <c r="A95" s="33">
        <v>94</v>
      </c>
      <c r="B95" s="34" t="s">
        <v>224</v>
      </c>
      <c r="C95" s="35" t="s">
        <v>76</v>
      </c>
      <c r="D95" s="35" t="s">
        <v>85</v>
      </c>
      <c r="E95" s="35" t="s">
        <v>56</v>
      </c>
      <c r="F95" s="35" t="s">
        <v>141</v>
      </c>
      <c r="G95" s="35" t="s">
        <v>76</v>
      </c>
      <c r="H95" s="35" t="s">
        <v>87</v>
      </c>
      <c r="I95" s="35">
        <v>212</v>
      </c>
      <c r="J95" s="35">
        <v>10</v>
      </c>
      <c r="K95" s="35">
        <v>49.4</v>
      </c>
      <c r="L95" s="35">
        <v>4.26</v>
      </c>
      <c r="M95" s="35">
        <v>24</v>
      </c>
      <c r="N95" s="35">
        <v>17</v>
      </c>
      <c r="O95" s="35" t="s">
        <v>183</v>
      </c>
      <c r="P95" s="35" t="str">
        <f t="shared" si="4"/>
        <v>Australia</v>
      </c>
      <c r="Q95" s="35" t="s">
        <v>140</v>
      </c>
      <c r="R95" s="36" t="s">
        <v>85</v>
      </c>
      <c r="S95" s="35" t="str">
        <f t="shared" si="5"/>
        <v>No</v>
      </c>
    </row>
    <row r="96" spans="1:19">
      <c r="A96" s="33">
        <v>95</v>
      </c>
      <c r="B96" s="34" t="s">
        <v>225</v>
      </c>
      <c r="C96" s="35" t="s">
        <v>86</v>
      </c>
      <c r="D96" s="35" t="s">
        <v>85</v>
      </c>
      <c r="E96" s="35" t="s">
        <v>45</v>
      </c>
      <c r="F96" s="35" t="s">
        <v>44</v>
      </c>
      <c r="G96" s="35" t="s">
        <v>85</v>
      </c>
      <c r="H96" s="35" t="s">
        <v>48</v>
      </c>
      <c r="I96" s="35">
        <v>240</v>
      </c>
      <c r="J96" s="35">
        <v>10</v>
      </c>
      <c r="K96" s="35">
        <v>50</v>
      </c>
      <c r="L96" s="35">
        <v>4.8</v>
      </c>
      <c r="M96" s="35">
        <v>16</v>
      </c>
      <c r="N96" s="35">
        <v>18</v>
      </c>
      <c r="O96" s="35" t="s">
        <v>183</v>
      </c>
      <c r="P96" s="35" t="str">
        <f t="shared" si="4"/>
        <v>Australia</v>
      </c>
      <c r="Q96" s="35" t="s">
        <v>140</v>
      </c>
      <c r="R96" s="36" t="s">
        <v>85</v>
      </c>
      <c r="S96" s="35" t="str">
        <f t="shared" si="5"/>
        <v>Australia</v>
      </c>
    </row>
    <row r="97" spans="1:19">
      <c r="A97" s="33">
        <v>96</v>
      </c>
      <c r="B97" s="34" t="s">
        <v>225</v>
      </c>
      <c r="C97" s="35" t="s">
        <v>85</v>
      </c>
      <c r="D97" s="35" t="s">
        <v>86</v>
      </c>
      <c r="E97" s="35" t="s">
        <v>45</v>
      </c>
      <c r="F97" s="35" t="s">
        <v>44</v>
      </c>
      <c r="G97" s="35" t="s">
        <v>85</v>
      </c>
      <c r="H97" s="35" t="s">
        <v>48</v>
      </c>
      <c r="I97" s="35">
        <v>241</v>
      </c>
      <c r="J97" s="35">
        <v>4</v>
      </c>
      <c r="K97" s="35">
        <v>43</v>
      </c>
      <c r="L97" s="35">
        <v>5.6</v>
      </c>
      <c r="M97" s="35">
        <v>27</v>
      </c>
      <c r="N97" s="35">
        <v>12</v>
      </c>
      <c r="O97" s="35" t="s">
        <v>184</v>
      </c>
      <c r="P97" s="35" t="str">
        <f t="shared" si="4"/>
        <v>Australia</v>
      </c>
      <c r="Q97" s="35" t="s">
        <v>140</v>
      </c>
      <c r="R97" s="36" t="s">
        <v>85</v>
      </c>
      <c r="S97" s="35" t="str">
        <f t="shared" si="5"/>
        <v>Australia</v>
      </c>
    </row>
  </sheetData>
  <pageMargins left="0.75" right="0.75" top="1" bottom="1" header="0.5" footer="0.5"/>
  <ignoredErrors>
    <ignoredError sqref="B2:B97" twoDigitTextYear="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
  <sheetViews>
    <sheetView workbookViewId="0">
      <selection activeCell="F12" sqref="F12"/>
    </sheetView>
  </sheetViews>
  <sheetFormatPr defaultColWidth="9.140625" defaultRowHeight="18.75"/>
  <cols>
    <col min="1" max="1" width="15.5703125" style="22" bestFit="1" customWidth="1"/>
    <col min="2" max="2" width="13.42578125" style="22" bestFit="1" customWidth="1"/>
    <col min="3" max="3" width="9.28515625" style="22" bestFit="1" customWidth="1"/>
    <col min="4" max="4" width="11" style="22" bestFit="1" customWidth="1"/>
    <col min="5" max="5" width="10.7109375" style="22" bestFit="1" customWidth="1"/>
    <col min="6" max="6" width="17.5703125" style="22" bestFit="1" customWidth="1"/>
    <col min="7" max="7" width="14" style="22" bestFit="1" customWidth="1"/>
    <col min="8" max="8" width="16.5703125" style="22" bestFit="1" customWidth="1"/>
    <col min="9" max="9" width="14.85546875" style="22" bestFit="1" customWidth="1"/>
    <col min="10" max="10" width="16.42578125" style="22" bestFit="1" customWidth="1"/>
    <col min="11" max="79" width="7.85546875" style="23"/>
    <col min="80" max="80" width="11.85546875" style="23"/>
    <col min="81" max="16384" width="9.140625" style="23"/>
  </cols>
  <sheetData>
    <row r="1" spans="1:10">
      <c r="A1" s="21" t="s">
        <v>169</v>
      </c>
      <c r="B1" s="21" t="s">
        <v>226</v>
      </c>
      <c r="C1" s="21" t="s">
        <v>227</v>
      </c>
      <c r="D1" s="21" t="s">
        <v>228</v>
      </c>
      <c r="E1" s="21" t="s">
        <v>229</v>
      </c>
      <c r="F1" s="21" t="s">
        <v>230</v>
      </c>
      <c r="G1" s="21" t="s">
        <v>231</v>
      </c>
      <c r="H1" s="21" t="s">
        <v>176</v>
      </c>
      <c r="I1" s="21" t="s">
        <v>232</v>
      </c>
      <c r="J1" s="21" t="s">
        <v>233</v>
      </c>
    </row>
    <row r="2" spans="1:10">
      <c r="A2" s="21" t="s">
        <v>67</v>
      </c>
      <c r="B2" s="24">
        <f>COUNTIF('Table A'!$F$2:$G$49,A2)</f>
        <v>9</v>
      </c>
      <c r="C2" s="24">
        <f>COUNTIF('Table A'!$AL$2:$AL$49,A2)</f>
        <v>4</v>
      </c>
      <c r="D2" s="24">
        <f t="shared" ref="D2:D11" si="0">B2-C2</f>
        <v>5</v>
      </c>
      <c r="E2" s="25">
        <f t="shared" ref="E2:E11" si="1">C2/B2</f>
        <v>0.44444444444444442</v>
      </c>
      <c r="F2" s="24">
        <f>SUMIF('Pivot Data'!C:C,A2,'Pivot Data'!I:I)</f>
        <v>2093</v>
      </c>
      <c r="G2" s="26">
        <f t="shared" ref="G2:G11" si="2">F2/B2</f>
        <v>232.55555555555554</v>
      </c>
      <c r="H2" s="24">
        <f>SUMIF('Pivot Data'!C:C,A2,'Pivot Data'!M:M)</f>
        <v>220</v>
      </c>
      <c r="I2" s="24">
        <f>COUNTIF('Table A'!H2:H49,A2)</f>
        <v>5</v>
      </c>
      <c r="J2" s="27">
        <f t="shared" ref="J2:J11" si="3">I2/B2</f>
        <v>0.55555555555555558</v>
      </c>
    </row>
    <row r="3" spans="1:10">
      <c r="A3" s="21" t="s">
        <v>85</v>
      </c>
      <c r="B3" s="24">
        <f>COUNTIF('Table A'!$F$2:$G$49,A3)</f>
        <v>11</v>
      </c>
      <c r="C3" s="24">
        <f>COUNTIF('Table A'!$AL$2:$AL$49,A3)</f>
        <v>9</v>
      </c>
      <c r="D3" s="24">
        <f t="shared" si="0"/>
        <v>2</v>
      </c>
      <c r="E3" s="25">
        <f t="shared" si="1"/>
        <v>0.81818181818181823</v>
      </c>
      <c r="F3" s="24">
        <f>SUMIF('Pivot Data'!C:C,A3,'Pivot Data'!I:I)</f>
        <v>3086</v>
      </c>
      <c r="G3" s="26">
        <f t="shared" si="2"/>
        <v>280.54545454545456</v>
      </c>
      <c r="H3" s="24">
        <f>SUMIF('Pivot Data'!C:C,A3,'Pivot Data'!M:M)</f>
        <v>384</v>
      </c>
      <c r="I3" s="24">
        <f>COUNTIF('Table A'!H3:H50,A3)</f>
        <v>5</v>
      </c>
      <c r="J3" s="27">
        <f t="shared" si="3"/>
        <v>0.45454545454545453</v>
      </c>
    </row>
    <row r="4" spans="1:10">
      <c r="A4" s="21" t="s">
        <v>68</v>
      </c>
      <c r="B4" s="24">
        <f>COUNTIF('Table A'!$F$2:$G$49,A4)</f>
        <v>9</v>
      </c>
      <c r="C4" s="24">
        <f>COUNTIF('Table A'!$AL$2:$AL$49,A4)</f>
        <v>2</v>
      </c>
      <c r="D4" s="24">
        <f t="shared" si="0"/>
        <v>7</v>
      </c>
      <c r="E4" s="25">
        <f t="shared" si="1"/>
        <v>0.22222222222222221</v>
      </c>
      <c r="F4" s="24">
        <f>SUMIF('Pivot Data'!C:C,A4,'Pivot Data'!I:I)</f>
        <v>2142</v>
      </c>
      <c r="G4" s="26">
        <f t="shared" si="2"/>
        <v>238</v>
      </c>
      <c r="H4" s="24">
        <f>SUMIF('Pivot Data'!C:C,A4,'Pivot Data'!M:M)</f>
        <v>231</v>
      </c>
      <c r="I4" s="24">
        <f>COUNTIF('Table A'!H4:H51,A4)</f>
        <v>5</v>
      </c>
      <c r="J4" s="27">
        <f t="shared" si="3"/>
        <v>0.55555555555555558</v>
      </c>
    </row>
    <row r="5" spans="1:10">
      <c r="A5" s="21" t="s">
        <v>46</v>
      </c>
      <c r="B5" s="24">
        <f>COUNTIF('Table A'!$F$2:$G$49,A5)</f>
        <v>9</v>
      </c>
      <c r="C5" s="24">
        <f>COUNTIF('Table A'!$AL$2:$AL$49,A5)</f>
        <v>3</v>
      </c>
      <c r="D5" s="24">
        <f t="shared" si="0"/>
        <v>6</v>
      </c>
      <c r="E5" s="25">
        <f t="shared" si="1"/>
        <v>0.33333333333333331</v>
      </c>
      <c r="F5" s="24">
        <f>SUMIF('Pivot Data'!C:C,A5,'Pivot Data'!I:I)</f>
        <v>1992</v>
      </c>
      <c r="G5" s="26">
        <f t="shared" si="2"/>
        <v>221.33333333333334</v>
      </c>
      <c r="H5" s="24">
        <f>SUMIF('Pivot Data'!C:C,A5,'Pivot Data'!M:M)</f>
        <v>257</v>
      </c>
      <c r="I5" s="24">
        <f>COUNTIF('Table A'!H5:H52,A5)</f>
        <v>7</v>
      </c>
      <c r="J5" s="27">
        <f t="shared" si="3"/>
        <v>0.77777777777777779</v>
      </c>
    </row>
    <row r="6" spans="1:10">
      <c r="A6" s="21" t="s">
        <v>86</v>
      </c>
      <c r="B6" s="24">
        <f>COUNTIF('Table A'!$F$2:$G$49,A6)</f>
        <v>11</v>
      </c>
      <c r="C6" s="24">
        <f>COUNTIF('Table A'!$AL$2:$AL$49,A6)</f>
        <v>10</v>
      </c>
      <c r="D6" s="24">
        <f t="shared" si="0"/>
        <v>1</v>
      </c>
      <c r="E6" s="25">
        <f t="shared" si="1"/>
        <v>0.90909090909090906</v>
      </c>
      <c r="F6" s="24">
        <f>SUMIF('Pivot Data'!C:C,A6,'Pivot Data'!I:I)</f>
        <v>3160</v>
      </c>
      <c r="G6" s="26">
        <f t="shared" si="2"/>
        <v>287.27272727272725</v>
      </c>
      <c r="H6" s="24">
        <f>SUMIF('Pivot Data'!C:C,A6,'Pivot Data'!M:M)</f>
        <v>369</v>
      </c>
      <c r="I6" s="24">
        <f>COUNTIF('Table A'!H6:H53,A6)</f>
        <v>5</v>
      </c>
      <c r="J6" s="27">
        <f t="shared" si="3"/>
        <v>0.45454545454545453</v>
      </c>
    </row>
    <row r="7" spans="1:10">
      <c r="A7" s="21" t="s">
        <v>58</v>
      </c>
      <c r="B7" s="24">
        <f>COUNTIF('Table A'!$F$2:$G$49,A7)</f>
        <v>9</v>
      </c>
      <c r="C7" s="24">
        <f>COUNTIF('Table A'!$AL$2:$AL$49,A7)</f>
        <v>2</v>
      </c>
      <c r="D7" s="24">
        <f t="shared" si="0"/>
        <v>7</v>
      </c>
      <c r="E7" s="25">
        <f t="shared" si="1"/>
        <v>0.22222222222222221</v>
      </c>
      <c r="F7" s="24">
        <f>SUMIF('Pivot Data'!C:C,A7,'Pivot Data'!I:I)</f>
        <v>1937</v>
      </c>
      <c r="G7" s="26">
        <f t="shared" si="2"/>
        <v>215.22222222222223</v>
      </c>
      <c r="H7" s="24">
        <f>SUMIF('Pivot Data'!C:C,A7,'Pivot Data'!M:M)</f>
        <v>197</v>
      </c>
      <c r="I7" s="24">
        <f>COUNTIF('Table A'!H7:H54,A7)</f>
        <v>4</v>
      </c>
      <c r="J7" s="27">
        <f t="shared" si="3"/>
        <v>0.44444444444444442</v>
      </c>
    </row>
    <row r="8" spans="1:10">
      <c r="A8" s="21" t="s">
        <v>47</v>
      </c>
      <c r="B8" s="24">
        <f>COUNTIF('Table A'!$F$2:$G$49,A8)</f>
        <v>10</v>
      </c>
      <c r="C8" s="24">
        <f>COUNTIF('Table A'!$AL$2:$AL$49,A8)</f>
        <v>5</v>
      </c>
      <c r="D8" s="24">
        <f t="shared" si="0"/>
        <v>5</v>
      </c>
      <c r="E8" s="25">
        <f t="shared" si="1"/>
        <v>0.5</v>
      </c>
      <c r="F8" s="24">
        <f>SUMIF('Pivot Data'!C:C,A8,'Pivot Data'!I:I)</f>
        <v>2863</v>
      </c>
      <c r="G8" s="26">
        <f t="shared" si="2"/>
        <v>286.3</v>
      </c>
      <c r="H8" s="24">
        <f>SUMIF('Pivot Data'!C:C,A8,'Pivot Data'!M:M)</f>
        <v>348</v>
      </c>
      <c r="I8" s="24">
        <f>COUNTIF('Table A'!H8:H55,A8)</f>
        <v>4</v>
      </c>
      <c r="J8" s="27">
        <f t="shared" si="3"/>
        <v>0.4</v>
      </c>
    </row>
    <row r="9" spans="1:10">
      <c r="A9" s="21" t="s">
        <v>57</v>
      </c>
      <c r="B9" s="24">
        <f>COUNTIF('Table A'!$F$2:$G$49,A9)</f>
        <v>9</v>
      </c>
      <c r="C9" s="24">
        <f>COUNTIF('Table A'!$AL$2:$AL$49,A9)</f>
        <v>4</v>
      </c>
      <c r="D9" s="24">
        <f t="shared" si="0"/>
        <v>5</v>
      </c>
      <c r="E9" s="25">
        <f t="shared" si="1"/>
        <v>0.44444444444444442</v>
      </c>
      <c r="F9" s="24">
        <f>SUMIF('Pivot Data'!C:C,A9,'Pivot Data'!I:I)</f>
        <v>2420</v>
      </c>
      <c r="G9" s="26">
        <f t="shared" si="2"/>
        <v>268.88888888888891</v>
      </c>
      <c r="H9" s="24">
        <f>SUMIF('Pivot Data'!C:C,A9,'Pivot Data'!M:M)</f>
        <v>290</v>
      </c>
      <c r="I9" s="24">
        <f>COUNTIF('Table A'!H9:H56,A9)</f>
        <v>4</v>
      </c>
      <c r="J9" s="27">
        <f t="shared" si="3"/>
        <v>0.44444444444444442</v>
      </c>
    </row>
    <row r="10" spans="1:10">
      <c r="A10" s="21" t="s">
        <v>76</v>
      </c>
      <c r="B10" s="24">
        <f>COUNTIF('Table A'!$F$2:$G$49,A10)</f>
        <v>10</v>
      </c>
      <c r="C10" s="24">
        <f>COUNTIF('Table A'!$AL$2:$AL$49,A10)</f>
        <v>7</v>
      </c>
      <c r="D10" s="24">
        <f t="shared" si="0"/>
        <v>3</v>
      </c>
      <c r="E10" s="25">
        <f t="shared" si="1"/>
        <v>0.7</v>
      </c>
      <c r="F10" s="24">
        <f>SUMIF('Pivot Data'!C:C,A10,'Pivot Data'!I:I)</f>
        <v>2897</v>
      </c>
      <c r="G10" s="26">
        <f t="shared" si="2"/>
        <v>289.7</v>
      </c>
      <c r="H10" s="24">
        <f>SUMIF('Pivot Data'!C:C,A10,'Pivot Data'!M:M)</f>
        <v>341</v>
      </c>
      <c r="I10" s="24">
        <f>COUNTIF('Table A'!H10:H57,A10)</f>
        <v>3</v>
      </c>
      <c r="J10" s="27">
        <f t="shared" si="3"/>
        <v>0.3</v>
      </c>
    </row>
    <row r="11" spans="1:10">
      <c r="A11" s="21" t="s">
        <v>77</v>
      </c>
      <c r="B11" s="24">
        <f>COUNTIF('Table A'!$F$2:$G$49,A11)</f>
        <v>9</v>
      </c>
      <c r="C11" s="24">
        <f>COUNTIF('Table A'!$AL$2:$AL$49,A11)</f>
        <v>2</v>
      </c>
      <c r="D11" s="24">
        <f t="shared" si="0"/>
        <v>7</v>
      </c>
      <c r="E11" s="25">
        <f t="shared" si="1"/>
        <v>0.22222222222222221</v>
      </c>
      <c r="F11" s="24">
        <f>SUMIF('Pivot Data'!C:C,A11,'Pivot Data'!I:I)</f>
        <v>2049</v>
      </c>
      <c r="G11" s="26">
        <f t="shared" si="2"/>
        <v>227.66666666666666</v>
      </c>
      <c r="H11" s="24">
        <f>SUMIF('Pivot Data'!C:C,A11,'Pivot Data'!M:M)</f>
        <v>248</v>
      </c>
      <c r="I11" s="24">
        <f>COUNTIF('Table A'!H11:H58,A11)</f>
        <v>2</v>
      </c>
      <c r="J11" s="27">
        <f t="shared" si="3"/>
        <v>0.22222222222222221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
  <sheetViews>
    <sheetView workbookViewId="0">
      <selection activeCell="E33" sqref="E33"/>
    </sheetView>
  </sheetViews>
  <sheetFormatPr defaultColWidth="9.140625" defaultRowHeight="15"/>
  <cols>
    <col min="1" max="1" width="15" customWidth="1"/>
    <col min="2" max="2" width="15.7109375"/>
    <col min="3" max="4" width="20.140625"/>
    <col min="5" max="68" width="22.85546875"/>
    <col min="69" max="69" width="20.7109375"/>
    <col min="70" max="70" width="20.5703125"/>
    <col min="71" max="71" width="23.140625"/>
    <col min="72" max="72" width="23"/>
    <col min="73" max="73" width="28.28515625"/>
    <col min="74" max="74" width="28.140625"/>
  </cols>
  <sheetData>
    <row r="1" spans="1:10">
      <c r="A1" s="20" t="s">
        <v>237</v>
      </c>
      <c r="B1" s="20" t="s">
        <v>37</v>
      </c>
      <c r="C1" s="20" t="s">
        <v>238</v>
      </c>
      <c r="D1" s="20" t="s">
        <v>39</v>
      </c>
      <c r="E1" s="20" t="s">
        <v>239</v>
      </c>
      <c r="F1" s="20" t="s">
        <v>240</v>
      </c>
      <c r="G1" s="20" t="s">
        <v>241</v>
      </c>
      <c r="H1" s="20" t="s">
        <v>242</v>
      </c>
      <c r="I1" s="20" t="s">
        <v>243</v>
      </c>
      <c r="J1" s="20" t="s">
        <v>244</v>
      </c>
    </row>
    <row r="2" spans="1:10">
      <c r="A2">
        <v>1</v>
      </c>
      <c r="B2" t="str">
        <f>VLOOKUP($A$2,'Table A'!1:1048576,38)</f>
        <v>NewZealand</v>
      </c>
      <c r="C2" t="str">
        <f>VLOOKUP($A$2,'Table A'!1:1048576,39)</f>
        <v>England</v>
      </c>
      <c r="D2" t="str">
        <f>VLOOKUP($A$2,'Table A'!1:1048576,41)</f>
        <v>Rachin Ravindra</v>
      </c>
      <c r="E2">
        <f>VLOOKUP($A$2,'Table A'!1:1048576,10)</f>
        <v>282</v>
      </c>
      <c r="F2">
        <f>VLOOKUP($A$2,'Table A'!1:1048576,24)</f>
        <v>283</v>
      </c>
      <c r="G2">
        <f>VLOOKUP($A$2,'Table A'!1:1048576,11)</f>
        <v>9</v>
      </c>
      <c r="H2">
        <f>VLOOKUP($A$2,'Table A'!1:1048576,25)</f>
        <v>1</v>
      </c>
      <c r="I2">
        <f>VLOOKUP($A$2,'Table A'!1:1048576,12)</f>
        <v>50</v>
      </c>
      <c r="J2">
        <f>VLOOKUP($A$2,'Table A'!1:1048576,26)</f>
        <v>36.200000000000003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EDB2-C007-42C2-B0E0-797D37E7AA2E}">
  <dimension ref="A3:O29"/>
  <sheetViews>
    <sheetView workbookViewId="0">
      <selection activeCell="A3" sqref="A3:B15"/>
    </sheetView>
  </sheetViews>
  <sheetFormatPr defaultRowHeight="15"/>
  <cols>
    <col min="1" max="1" width="12.140625" bestFit="1" customWidth="1"/>
    <col min="2" max="2" width="10.140625" bestFit="1" customWidth="1"/>
    <col min="4" max="4" width="15.140625" bestFit="1" customWidth="1"/>
    <col min="5" max="5" width="8.5703125" bestFit="1" customWidth="1"/>
    <col min="6" max="6" width="17" bestFit="1" customWidth="1"/>
    <col min="7" max="7" width="12.140625" bestFit="1" customWidth="1"/>
    <col min="8" max="8" width="16.28515625" bestFit="1" customWidth="1"/>
    <col min="9" max="9" width="4.7109375" bestFit="1" customWidth="1"/>
    <col min="10" max="10" width="7.28515625" bestFit="1" customWidth="1"/>
    <col min="11" max="11" width="11.28515625" bestFit="1" customWidth="1"/>
    <col min="12" max="12" width="3.5703125" bestFit="1" customWidth="1"/>
    <col min="13" max="13" width="12.140625" bestFit="1" customWidth="1"/>
    <col min="14" max="14" width="13.5703125" bestFit="1" customWidth="1"/>
    <col min="15" max="15" width="19.140625" bestFit="1" customWidth="1"/>
    <col min="16" max="16" width="17" bestFit="1" customWidth="1"/>
    <col min="17" max="17" width="14" bestFit="1" customWidth="1"/>
    <col min="18" max="18" width="4.7109375" bestFit="1" customWidth="1"/>
    <col min="19" max="19" width="7.28515625" bestFit="1" customWidth="1"/>
    <col min="20" max="20" width="11.28515625" bestFit="1" customWidth="1"/>
  </cols>
  <sheetData>
    <row r="3" spans="1:15">
      <c r="A3" s="56" t="s">
        <v>257</v>
      </c>
      <c r="B3" s="56" t="s">
        <v>234</v>
      </c>
      <c r="D3" s="56" t="s">
        <v>171</v>
      </c>
      <c r="E3" s="56" t="s">
        <v>258</v>
      </c>
      <c r="G3" s="56" t="s">
        <v>226</v>
      </c>
      <c r="H3" s="56" t="s">
        <v>254</v>
      </c>
      <c r="I3" s="56"/>
      <c r="J3" s="56"/>
      <c r="K3" s="56"/>
      <c r="M3" s="56" t="s">
        <v>257</v>
      </c>
      <c r="N3" s="56" t="s">
        <v>258</v>
      </c>
      <c r="O3" s="56" t="s">
        <v>259</v>
      </c>
    </row>
    <row r="4" spans="1:15">
      <c r="A4" s="41" t="s">
        <v>67</v>
      </c>
      <c r="B4" s="54">
        <v>2093</v>
      </c>
      <c r="D4" s="41" t="s">
        <v>75</v>
      </c>
      <c r="E4" s="54">
        <v>284.8</v>
      </c>
      <c r="G4" s="56" t="s">
        <v>257</v>
      </c>
      <c r="H4" s="56" t="s">
        <v>183</v>
      </c>
      <c r="I4" s="56" t="s">
        <v>184</v>
      </c>
      <c r="J4" s="56" t="s">
        <v>255</v>
      </c>
      <c r="K4" s="56" t="s">
        <v>236</v>
      </c>
      <c r="M4" s="41" t="s">
        <v>67</v>
      </c>
      <c r="N4" s="42">
        <v>232.55555555555554</v>
      </c>
      <c r="O4" s="42">
        <v>5</v>
      </c>
    </row>
    <row r="5" spans="1:15">
      <c r="A5" s="41" t="s">
        <v>85</v>
      </c>
      <c r="B5" s="54">
        <v>3086</v>
      </c>
      <c r="D5" s="41" t="s">
        <v>105</v>
      </c>
      <c r="E5" s="54">
        <v>215.5</v>
      </c>
      <c r="G5" s="41" t="s">
        <v>67</v>
      </c>
      <c r="H5" s="54">
        <v>5</v>
      </c>
      <c r="I5" s="54">
        <v>4</v>
      </c>
      <c r="J5" s="54"/>
      <c r="K5" s="54">
        <v>9</v>
      </c>
      <c r="M5" s="41" t="s">
        <v>85</v>
      </c>
      <c r="N5" s="42">
        <v>280.54545454545456</v>
      </c>
      <c r="O5" s="42">
        <v>5.9899999999999984</v>
      </c>
    </row>
    <row r="6" spans="1:15">
      <c r="A6" s="41" t="s">
        <v>68</v>
      </c>
      <c r="B6" s="54">
        <v>2142</v>
      </c>
      <c r="D6" s="41" t="s">
        <v>56</v>
      </c>
      <c r="E6" s="54">
        <v>224</v>
      </c>
      <c r="G6" s="41" t="s">
        <v>85</v>
      </c>
      <c r="H6" s="54">
        <v>2</v>
      </c>
      <c r="I6" s="54">
        <v>9</v>
      </c>
      <c r="J6" s="54"/>
      <c r="K6" s="54">
        <v>11</v>
      </c>
      <c r="M6" s="41" t="s">
        <v>68</v>
      </c>
      <c r="N6" s="42">
        <v>238</v>
      </c>
      <c r="O6" s="42">
        <v>5.4277777777777771</v>
      </c>
    </row>
    <row r="7" spans="1:15">
      <c r="A7" s="41" t="s">
        <v>46</v>
      </c>
      <c r="B7" s="54">
        <v>1992</v>
      </c>
      <c r="D7" s="41" t="s">
        <v>66</v>
      </c>
      <c r="E7" s="54">
        <v>267.5</v>
      </c>
      <c r="G7" s="41" t="s">
        <v>68</v>
      </c>
      <c r="H7" s="54">
        <v>7</v>
      </c>
      <c r="I7" s="54">
        <v>2</v>
      </c>
      <c r="J7" s="54"/>
      <c r="K7" s="54">
        <v>9</v>
      </c>
      <c r="M7" s="41" t="s">
        <v>46</v>
      </c>
      <c r="N7" s="42">
        <v>221.33333333333334</v>
      </c>
      <c r="O7" s="42">
        <v>5.677777777777778</v>
      </c>
    </row>
    <row r="8" spans="1:15">
      <c r="A8" s="41" t="s">
        <v>86</v>
      </c>
      <c r="B8" s="54">
        <v>3160</v>
      </c>
      <c r="D8" s="41" t="s">
        <v>84</v>
      </c>
      <c r="E8" s="54">
        <v>242.9</v>
      </c>
      <c r="G8" s="41" t="s">
        <v>46</v>
      </c>
      <c r="H8" s="54">
        <v>6</v>
      </c>
      <c r="I8" s="54">
        <v>3</v>
      </c>
      <c r="J8" s="54"/>
      <c r="K8" s="54">
        <v>9</v>
      </c>
      <c r="M8" s="41" t="s">
        <v>86</v>
      </c>
      <c r="N8" s="42">
        <v>287.27272727272725</v>
      </c>
      <c r="O8" s="42">
        <v>6.373636363636364</v>
      </c>
    </row>
    <row r="9" spans="1:15">
      <c r="A9" s="41" t="s">
        <v>58</v>
      </c>
      <c r="B9" s="54">
        <v>1937</v>
      </c>
      <c r="D9" s="41" t="s">
        <v>123</v>
      </c>
      <c r="E9" s="54">
        <v>259.2</v>
      </c>
      <c r="G9" s="41" t="s">
        <v>86</v>
      </c>
      <c r="H9" s="54">
        <v>1</v>
      </c>
      <c r="I9" s="54">
        <v>10</v>
      </c>
      <c r="J9" s="54"/>
      <c r="K9" s="54">
        <v>11</v>
      </c>
      <c r="M9" s="41" t="s">
        <v>58</v>
      </c>
      <c r="N9" s="42">
        <v>215.22222222222223</v>
      </c>
      <c r="O9" s="42">
        <v>5.1244444444444452</v>
      </c>
    </row>
    <row r="10" spans="1:15">
      <c r="A10" s="41" t="s">
        <v>47</v>
      </c>
      <c r="B10" s="54">
        <v>2863</v>
      </c>
      <c r="D10" s="41" t="s">
        <v>120</v>
      </c>
      <c r="E10" s="54">
        <v>265.5</v>
      </c>
      <c r="G10" s="41" t="s">
        <v>58</v>
      </c>
      <c r="H10" s="54">
        <v>7</v>
      </c>
      <c r="I10" s="54">
        <v>2</v>
      </c>
      <c r="J10" s="54"/>
      <c r="K10" s="54">
        <v>9</v>
      </c>
      <c r="M10" s="41" t="s">
        <v>47</v>
      </c>
      <c r="N10" s="42">
        <v>286.3</v>
      </c>
      <c r="O10" s="42">
        <v>6.1949999999999985</v>
      </c>
    </row>
    <row r="11" spans="1:15">
      <c r="A11" s="41" t="s">
        <v>57</v>
      </c>
      <c r="B11" s="54">
        <v>2420</v>
      </c>
      <c r="D11" s="41" t="s">
        <v>45</v>
      </c>
      <c r="E11" s="54">
        <v>245.9</v>
      </c>
      <c r="G11" s="41" t="s">
        <v>47</v>
      </c>
      <c r="H11" s="54">
        <v>5</v>
      </c>
      <c r="I11" s="54">
        <v>5</v>
      </c>
      <c r="J11" s="54"/>
      <c r="K11" s="54">
        <v>10</v>
      </c>
      <c r="M11" s="41" t="s">
        <v>57</v>
      </c>
      <c r="N11" s="42">
        <v>268.88888888888891</v>
      </c>
      <c r="O11" s="42">
        <v>5.9422222222222221</v>
      </c>
    </row>
    <row r="12" spans="1:15">
      <c r="A12" s="41" t="s">
        <v>76</v>
      </c>
      <c r="B12" s="54">
        <v>2897</v>
      </c>
      <c r="D12" s="41" t="s">
        <v>93</v>
      </c>
      <c r="E12" s="54">
        <v>308.5</v>
      </c>
      <c r="G12" s="41" t="s">
        <v>57</v>
      </c>
      <c r="H12" s="54">
        <v>5</v>
      </c>
      <c r="I12" s="54">
        <v>4</v>
      </c>
      <c r="J12" s="54"/>
      <c r="K12" s="54">
        <v>9</v>
      </c>
      <c r="M12" s="41" t="s">
        <v>76</v>
      </c>
      <c r="N12" s="42">
        <v>289.7</v>
      </c>
      <c r="O12" s="42">
        <v>6.01</v>
      </c>
    </row>
    <row r="13" spans="1:15">
      <c r="A13" s="41" t="s">
        <v>77</v>
      </c>
      <c r="B13" s="54">
        <v>2049</v>
      </c>
      <c r="D13" s="41" t="s">
        <v>128</v>
      </c>
      <c r="E13" s="54">
        <v>290.39999999999998</v>
      </c>
      <c r="G13" s="41" t="s">
        <v>76</v>
      </c>
      <c r="H13" s="54">
        <v>3</v>
      </c>
      <c r="I13" s="54">
        <v>7</v>
      </c>
      <c r="J13" s="54"/>
      <c r="K13" s="54">
        <v>10</v>
      </c>
      <c r="M13" s="41" t="s">
        <v>77</v>
      </c>
      <c r="N13" s="42">
        <v>227.66666666666666</v>
      </c>
      <c r="O13" s="42">
        <v>5.6966666666666672</v>
      </c>
    </row>
    <row r="14" spans="1:15">
      <c r="A14" s="41" t="s">
        <v>255</v>
      </c>
      <c r="B14" s="54"/>
      <c r="D14" s="41" t="s">
        <v>255</v>
      </c>
      <c r="E14" s="54"/>
      <c r="G14" s="41" t="s">
        <v>77</v>
      </c>
      <c r="H14" s="54">
        <v>7</v>
      </c>
      <c r="I14" s="54">
        <v>2</v>
      </c>
      <c r="J14" s="54"/>
      <c r="K14" s="54">
        <v>9</v>
      </c>
      <c r="M14" s="41" t="s">
        <v>255</v>
      </c>
      <c r="N14" s="42"/>
      <c r="O14" s="42"/>
    </row>
    <row r="15" spans="1:15">
      <c r="A15" s="57" t="s">
        <v>236</v>
      </c>
      <c r="B15" s="58">
        <v>24639</v>
      </c>
      <c r="D15" s="47" t="s">
        <v>236</v>
      </c>
      <c r="E15" s="55">
        <v>256.65625</v>
      </c>
      <c r="G15" s="41" t="s">
        <v>255</v>
      </c>
      <c r="H15" s="54"/>
      <c r="I15" s="54"/>
      <c r="J15" s="54"/>
      <c r="K15" s="54"/>
      <c r="M15" s="47" t="s">
        <v>236</v>
      </c>
      <c r="N15" s="48">
        <v>256.65625</v>
      </c>
      <c r="O15" s="48">
        <v>5.7694791666666658</v>
      </c>
    </row>
    <row r="16" spans="1:15">
      <c r="D16" s="45" t="s">
        <v>178</v>
      </c>
      <c r="E16" t="s">
        <v>256</v>
      </c>
      <c r="G16" s="47" t="s">
        <v>236</v>
      </c>
      <c r="H16" s="55">
        <v>48</v>
      </c>
      <c r="I16" s="55">
        <v>48</v>
      </c>
      <c r="J16" s="55"/>
      <c r="K16" s="55">
        <v>96</v>
      </c>
    </row>
    <row r="17" spans="1:8">
      <c r="A17" s="46" t="s">
        <v>257</v>
      </c>
      <c r="B17" s="46" t="s">
        <v>235</v>
      </c>
    </row>
    <row r="18" spans="1:8">
      <c r="A18" s="41" t="s">
        <v>67</v>
      </c>
      <c r="B18" s="54">
        <v>220</v>
      </c>
      <c r="D18" s="46" t="s">
        <v>8</v>
      </c>
      <c r="E18" s="46" t="s">
        <v>226</v>
      </c>
    </row>
    <row r="19" spans="1:8">
      <c r="A19" s="41" t="s">
        <v>85</v>
      </c>
      <c r="B19" s="54">
        <v>384</v>
      </c>
      <c r="D19" s="41" t="s">
        <v>87</v>
      </c>
      <c r="E19" s="54">
        <v>44</v>
      </c>
    </row>
    <row r="20" spans="1:8">
      <c r="A20" s="41" t="s">
        <v>68</v>
      </c>
      <c r="B20" s="54">
        <v>231</v>
      </c>
      <c r="D20" s="41" t="s">
        <v>48</v>
      </c>
      <c r="E20" s="54">
        <v>52</v>
      </c>
    </row>
    <row r="21" spans="1:8">
      <c r="A21" s="41" t="s">
        <v>46</v>
      </c>
      <c r="B21" s="54">
        <v>257</v>
      </c>
      <c r="D21" s="41" t="s">
        <v>255</v>
      </c>
      <c r="E21" s="54"/>
    </row>
    <row r="22" spans="1:8">
      <c r="A22" s="41" t="s">
        <v>86</v>
      </c>
      <c r="B22" s="54">
        <v>369</v>
      </c>
      <c r="D22" s="47" t="s">
        <v>236</v>
      </c>
      <c r="E22" s="55">
        <v>96</v>
      </c>
    </row>
    <row r="23" spans="1:8">
      <c r="A23" s="41" t="s">
        <v>58</v>
      </c>
      <c r="B23" s="54">
        <v>197</v>
      </c>
    </row>
    <row r="24" spans="1:8">
      <c r="A24" s="41" t="s">
        <v>47</v>
      </c>
      <c r="B24" s="54">
        <v>348</v>
      </c>
    </row>
    <row r="25" spans="1:8">
      <c r="A25" s="41" t="s">
        <v>57</v>
      </c>
      <c r="B25" s="54">
        <v>290</v>
      </c>
      <c r="H25" s="43"/>
    </row>
    <row r="26" spans="1:8">
      <c r="A26" s="41" t="s">
        <v>76</v>
      </c>
      <c r="B26" s="54">
        <v>341</v>
      </c>
    </row>
    <row r="27" spans="1:8">
      <c r="A27" s="41" t="s">
        <v>77</v>
      </c>
      <c r="B27" s="54">
        <v>248</v>
      </c>
    </row>
    <row r="28" spans="1:8">
      <c r="A28" s="41" t="s">
        <v>255</v>
      </c>
      <c r="B28" s="54"/>
    </row>
    <row r="29" spans="1:8">
      <c r="A29" s="47" t="s">
        <v>236</v>
      </c>
      <c r="B29" s="55">
        <v>2885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4AB6B-78CE-4B12-8063-8753F5548BBA}">
  <dimension ref="A1"/>
  <sheetViews>
    <sheetView workbookViewId="0">
      <selection activeCell="O32" sqref="O32"/>
    </sheetView>
  </sheetViews>
  <sheetFormatPr defaultRowHeight="15"/>
  <cols>
    <col min="1" max="16384" width="9.140625" style="44"/>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D2:S28"/>
  <sheetViews>
    <sheetView workbookViewId="0">
      <selection activeCell="I17" sqref="I17"/>
    </sheetView>
  </sheetViews>
  <sheetFormatPr defaultColWidth="9.140625" defaultRowHeight="18.75"/>
  <cols>
    <col min="1" max="3" width="9.140625" style="4"/>
    <col min="4" max="4" width="25.28515625" style="4" customWidth="1"/>
    <col min="5" max="5" width="37.85546875" style="4" customWidth="1"/>
    <col min="6" max="6" width="32.42578125" style="4" customWidth="1"/>
    <col min="7" max="7" width="30.5703125" style="4" customWidth="1"/>
    <col min="8" max="8" width="37" style="4" customWidth="1"/>
    <col min="9" max="10" width="35.42578125" style="4" customWidth="1"/>
    <col min="11" max="11" width="41.28515625" style="4" customWidth="1"/>
    <col min="12" max="12" width="27.5703125" style="4" customWidth="1"/>
    <col min="13" max="13" width="9.140625" style="4"/>
    <col min="14" max="14" width="24" style="4" customWidth="1"/>
    <col min="15" max="15" width="9.140625" style="4"/>
    <col min="16" max="16" width="23.42578125" style="4" customWidth="1"/>
    <col min="17" max="17" width="9.140625" style="4"/>
    <col min="18" max="18" width="25" style="4" customWidth="1"/>
    <col min="19" max="16384" width="9.140625" style="4"/>
  </cols>
  <sheetData>
    <row r="2" spans="4:19" s="3" customFormat="1">
      <c r="E2" s="52" t="s">
        <v>245</v>
      </c>
      <c r="F2" s="53"/>
      <c r="G2" s="53"/>
      <c r="H2" s="53"/>
      <c r="I2" s="53"/>
    </row>
    <row r="3" spans="4:19" s="3" customFormat="1">
      <c r="E3" s="53"/>
      <c r="F3" s="53"/>
      <c r="G3" s="53"/>
      <c r="H3" s="53"/>
      <c r="I3" s="53"/>
      <c r="K3" s="7"/>
      <c r="L3" s="7"/>
      <c r="M3" s="7"/>
      <c r="N3" s="7"/>
      <c r="O3" s="7"/>
      <c r="P3" s="7"/>
      <c r="Q3" s="7"/>
      <c r="R3" s="7"/>
      <c r="S3" s="7"/>
    </row>
    <row r="4" spans="4:19" s="3" customFormat="1" ht="19.5">
      <c r="E4" s="53"/>
      <c r="F4" s="53"/>
      <c r="G4" s="53"/>
      <c r="H4" s="53"/>
      <c r="I4" s="53"/>
      <c r="J4" s="8"/>
      <c r="K4" s="8"/>
      <c r="L4" s="8"/>
      <c r="M4" s="8"/>
      <c r="N4" s="8"/>
      <c r="O4" s="7"/>
      <c r="P4" s="7"/>
      <c r="Q4" s="7"/>
      <c r="R4" s="7"/>
      <c r="S4" s="7"/>
    </row>
    <row r="6" spans="4:19">
      <c r="D6" s="9"/>
      <c r="E6" s="9"/>
      <c r="F6" s="9"/>
      <c r="G6" s="9"/>
      <c r="H6" s="9"/>
      <c r="I6" s="9"/>
      <c r="J6" s="9"/>
      <c r="K6" s="9"/>
      <c r="L6" s="9"/>
      <c r="M6" s="9"/>
      <c r="N6" s="9"/>
      <c r="O6" s="9"/>
      <c r="P6" s="9"/>
      <c r="Q6" s="9"/>
      <c r="R6" s="9"/>
    </row>
    <row r="7" spans="4:19" s="5" customFormat="1">
      <c r="G7" s="10" t="s">
        <v>246</v>
      </c>
      <c r="M7" s="11"/>
      <c r="O7" s="11"/>
      <c r="Q7" s="11"/>
    </row>
    <row r="8" spans="4:19" s="6" customFormat="1">
      <c r="G8" s="12">
        <f>COUNT('Table A'!A2:A49)</f>
        <v>48</v>
      </c>
    </row>
    <row r="9" spans="4:19">
      <c r="J9" s="13"/>
      <c r="R9" s="14"/>
    </row>
    <row r="11" spans="4:19" s="5" customFormat="1">
      <c r="E11" s="10" t="s">
        <v>247</v>
      </c>
      <c r="G11" s="10" t="s">
        <v>248</v>
      </c>
      <c r="H11" s="11"/>
      <c r="I11" s="10" t="s">
        <v>249</v>
      </c>
    </row>
    <row r="12" spans="4:19" s="6" customFormat="1">
      <c r="E12" s="12" cm="1">
        <f t="array" ref="E12">SUM('Table A'!J2:J49+'Table A'!X2:X49)</f>
        <v>24639</v>
      </c>
      <c r="G12" s="12">
        <f>SUM('Table A'!K2:K49,'Table A'!Y2:Y49)</f>
        <v>730</v>
      </c>
      <c r="I12" s="12">
        <f>MIN('Table A'!J2:J49,'Table A'!X2:X49)</f>
        <v>55</v>
      </c>
    </row>
    <row r="13" spans="4:19">
      <c r="E13" s="15"/>
    </row>
    <row r="15" spans="4:19">
      <c r="G15" s="15"/>
    </row>
    <row r="16" spans="4:19" s="5" customFormat="1">
      <c r="E16" s="10" t="s">
        <v>250</v>
      </c>
      <c r="G16" s="10" t="s">
        <v>251</v>
      </c>
      <c r="I16" s="10" t="s">
        <v>252</v>
      </c>
    </row>
    <row r="17" spans="5:9" s="6" customFormat="1">
      <c r="E17" s="12">
        <f>MAX('Pivot Data'!I:I)</f>
        <v>428</v>
      </c>
      <c r="G17" s="16">
        <f>AVERAGE('Table A'!K2:K49,'Table A'!Y2:Y49)</f>
        <v>7.6041666666666696</v>
      </c>
      <c r="I17" s="49">
        <f>AVERAGE('Table A'!J2:J49,'Table A'!X2:X49)</f>
        <v>256.65625</v>
      </c>
    </row>
    <row r="18" spans="5:9">
      <c r="G18" s="17"/>
      <c r="I18" s="17"/>
    </row>
    <row r="20" spans="5:9" s="5" customFormat="1">
      <c r="G20" s="10" t="s">
        <v>253</v>
      </c>
    </row>
    <row r="21" spans="5:9" s="6" customFormat="1">
      <c r="G21" s="18">
        <f>COUNTIF('Table A'!AT2:AT49,"yes")/48</f>
        <v>0.39583333333333298</v>
      </c>
    </row>
    <row r="22" spans="5:9">
      <c r="G22" s="17"/>
    </row>
    <row r="27" spans="5:9">
      <c r="F27"/>
    </row>
    <row r="28" spans="5:9">
      <c r="G28" s="19"/>
    </row>
  </sheetData>
  <mergeCells count="1">
    <mergeCell ref="E2:I4"/>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57"/>
  <sheetViews>
    <sheetView tabSelected="1" zoomScale="70" zoomScaleNormal="70" workbookViewId="0">
      <selection activeCell="Y5" sqref="Y5"/>
    </sheetView>
  </sheetViews>
  <sheetFormatPr defaultColWidth="9.140625" defaultRowHeight="11.25"/>
  <cols>
    <col min="1" max="16384" width="9.140625" style="1"/>
  </cols>
  <sheetData>
    <row r="1" spans="1:13" ht="15">
      <c r="A1"/>
      <c r="B1" s="2"/>
      <c r="C1" s="2"/>
      <c r="D1" s="2"/>
      <c r="E1" s="2"/>
      <c r="F1" s="2"/>
      <c r="G1" s="2"/>
      <c r="H1" s="2"/>
      <c r="I1" s="2"/>
      <c r="J1" s="2"/>
      <c r="K1" s="2"/>
      <c r="L1" s="2"/>
      <c r="M1" s="2"/>
    </row>
    <row r="2" spans="1:13">
      <c r="A2" s="2"/>
      <c r="B2" s="2"/>
      <c r="C2" s="2"/>
      <c r="D2" s="2"/>
      <c r="E2" s="2"/>
      <c r="F2" s="2"/>
      <c r="G2" s="2"/>
      <c r="H2" s="2"/>
      <c r="I2" s="2"/>
      <c r="J2" s="2"/>
      <c r="K2" s="2"/>
      <c r="L2" s="2"/>
      <c r="M2" s="2"/>
    </row>
    <row r="3" spans="1:13">
      <c r="A3" s="2"/>
      <c r="B3" s="2"/>
      <c r="C3" s="2"/>
      <c r="D3" s="2"/>
      <c r="E3" s="2"/>
      <c r="F3" s="2"/>
      <c r="G3" s="2"/>
      <c r="H3" s="2"/>
      <c r="I3" s="2"/>
      <c r="J3" s="2"/>
      <c r="K3" s="2"/>
      <c r="L3" s="2"/>
      <c r="M3" s="2"/>
    </row>
    <row r="4" spans="1:13">
      <c r="A4" s="2"/>
      <c r="B4" s="2"/>
      <c r="C4" s="2"/>
      <c r="D4" s="2"/>
      <c r="E4" s="2"/>
      <c r="F4" s="2"/>
      <c r="G4" s="2"/>
      <c r="H4" s="2"/>
      <c r="I4" s="2"/>
      <c r="J4" s="2"/>
      <c r="K4" s="2"/>
      <c r="L4" s="2"/>
      <c r="M4" s="2"/>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7" spans="1:13">
      <c r="A7" s="2"/>
      <c r="B7" s="2"/>
      <c r="C7" s="2"/>
      <c r="D7" s="2"/>
      <c r="E7" s="2"/>
      <c r="F7" s="2"/>
      <c r="G7" s="2"/>
      <c r="H7" s="2"/>
      <c r="I7" s="2"/>
      <c r="J7" s="2"/>
      <c r="K7" s="2"/>
      <c r="L7" s="2"/>
      <c r="M7" s="2"/>
    </row>
    <row r="8" spans="1:13">
      <c r="A8" s="2"/>
      <c r="B8" s="2"/>
      <c r="C8" s="2"/>
      <c r="D8" s="2"/>
      <c r="E8" s="2"/>
      <c r="F8" s="2"/>
      <c r="G8" s="2"/>
      <c r="H8" s="2"/>
      <c r="I8" s="2"/>
      <c r="J8" s="2"/>
      <c r="K8" s="2"/>
      <c r="L8" s="2"/>
      <c r="M8" s="2"/>
    </row>
    <row r="9" spans="1:13">
      <c r="A9" s="2"/>
      <c r="B9" s="2"/>
      <c r="C9" s="2"/>
      <c r="D9" s="2"/>
      <c r="E9" s="2"/>
      <c r="F9" s="2"/>
      <c r="G9" s="2"/>
      <c r="H9" s="2"/>
      <c r="I9" s="2"/>
      <c r="J9" s="2"/>
      <c r="K9" s="2"/>
      <c r="L9" s="2"/>
      <c r="M9" s="2"/>
    </row>
    <row r="10" spans="1:13">
      <c r="A10" s="2"/>
      <c r="B10" s="2"/>
      <c r="C10" s="2"/>
      <c r="D10" s="2"/>
      <c r="E10" s="2"/>
      <c r="F10" s="2"/>
      <c r="G10" s="2"/>
      <c r="H10" s="2"/>
      <c r="I10" s="2"/>
      <c r="J10" s="2"/>
      <c r="K10" s="2"/>
      <c r="L10" s="2"/>
      <c r="M10" s="2"/>
    </row>
    <row r="11" spans="1:13">
      <c r="A11" s="2"/>
      <c r="B11" s="2"/>
      <c r="C11" s="2"/>
      <c r="D11" s="2"/>
      <c r="E11" s="2"/>
      <c r="F11" s="2"/>
      <c r="G11" s="2"/>
      <c r="H11" s="2"/>
      <c r="I11" s="2"/>
      <c r="J11" s="2"/>
      <c r="K11" s="2"/>
      <c r="L11" s="2"/>
      <c r="M11" s="2"/>
    </row>
    <row r="12" spans="1:13">
      <c r="A12" s="2"/>
      <c r="B12" s="2"/>
      <c r="C12" s="2"/>
      <c r="D12" s="2"/>
      <c r="E12" s="2"/>
      <c r="F12" s="2"/>
      <c r="G12" s="2"/>
      <c r="H12" s="2"/>
      <c r="I12" s="2"/>
      <c r="J12" s="2"/>
      <c r="K12" s="2"/>
      <c r="L12" s="2"/>
      <c r="M12" s="2"/>
    </row>
    <row r="13" spans="1:13">
      <c r="A13" s="2"/>
      <c r="B13" s="2"/>
      <c r="C13" s="2"/>
      <c r="D13" s="2"/>
      <c r="E13" s="2"/>
      <c r="F13" s="2"/>
      <c r="G13" s="2"/>
      <c r="H13" s="2"/>
      <c r="I13" s="2"/>
      <c r="J13" s="2"/>
      <c r="K13" s="2"/>
      <c r="L13" s="2"/>
      <c r="M13" s="2"/>
    </row>
    <row r="14" spans="1:13">
      <c r="A14" s="2"/>
      <c r="B14" s="2"/>
      <c r="C14" s="2"/>
      <c r="D14" s="2"/>
      <c r="E14" s="2"/>
      <c r="F14" s="2"/>
      <c r="G14" s="2"/>
      <c r="H14" s="2"/>
      <c r="I14" s="2"/>
      <c r="J14" s="2"/>
      <c r="K14" s="2"/>
      <c r="L14" s="2"/>
      <c r="M14" s="2"/>
    </row>
    <row r="15" spans="1:13">
      <c r="A15" s="2"/>
      <c r="B15" s="2"/>
      <c r="C15" s="2"/>
      <c r="D15" s="2"/>
      <c r="E15" s="2"/>
      <c r="F15" s="2"/>
      <c r="G15" s="2"/>
      <c r="H15" s="2"/>
      <c r="I15" s="2"/>
      <c r="J15" s="2"/>
      <c r="K15" s="2"/>
      <c r="L15" s="2"/>
      <c r="M15" s="2"/>
    </row>
    <row r="16" spans="1:13">
      <c r="A16" s="2"/>
      <c r="B16" s="2"/>
      <c r="C16" s="2"/>
      <c r="D16" s="2"/>
      <c r="E16" s="2"/>
      <c r="F16" s="2"/>
      <c r="G16" s="2"/>
      <c r="H16" s="2"/>
      <c r="I16" s="2"/>
      <c r="J16" s="2"/>
      <c r="K16" s="2"/>
      <c r="L16" s="2"/>
      <c r="M16" s="2"/>
    </row>
    <row r="17" spans="1:13">
      <c r="A17" s="2"/>
      <c r="B17" s="2"/>
      <c r="C17" s="2"/>
      <c r="D17" s="2"/>
      <c r="E17" s="2"/>
      <c r="F17" s="2"/>
      <c r="G17" s="2"/>
      <c r="H17" s="2"/>
      <c r="I17" s="2"/>
      <c r="J17" s="2"/>
      <c r="K17" s="2"/>
      <c r="L17" s="2"/>
      <c r="M17" s="2"/>
    </row>
    <row r="18" spans="1:13">
      <c r="A18" s="2"/>
      <c r="B18" s="2"/>
      <c r="C18" s="2"/>
      <c r="D18" s="2"/>
      <c r="E18" s="2"/>
      <c r="F18" s="2"/>
      <c r="G18" s="2"/>
      <c r="H18" s="2"/>
      <c r="I18" s="2"/>
      <c r="J18" s="2"/>
      <c r="K18" s="2"/>
      <c r="L18" s="2"/>
      <c r="M18" s="2"/>
    </row>
    <row r="19" spans="1:13">
      <c r="A19" s="2"/>
      <c r="B19" s="2"/>
      <c r="C19" s="2"/>
      <c r="D19" s="2"/>
      <c r="E19" s="2"/>
      <c r="F19" s="2"/>
      <c r="G19" s="2"/>
      <c r="H19" s="2"/>
      <c r="I19" s="2"/>
      <c r="J19" s="2"/>
      <c r="K19" s="2"/>
      <c r="L19" s="2"/>
      <c r="M19" s="2"/>
    </row>
    <row r="40" spans="25:25" ht="15">
      <c r="Y40"/>
    </row>
    <row r="57" spans="27:27">
      <c r="AA57" s="40"/>
    </row>
  </sheetData>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Table A</vt:lpstr>
      <vt:lpstr>Pivot Data</vt:lpstr>
      <vt:lpstr>Team Wise Statistics</vt:lpstr>
      <vt:lpstr>Match Wise</vt:lpstr>
      <vt:lpstr>Pivot Table</vt:lpstr>
      <vt:lpstr>Charts</vt:lpstr>
      <vt:lpstr>Statistics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sharma</dc:creator>
  <cp:lastModifiedBy>tushar sharma</cp:lastModifiedBy>
  <dcterms:created xsi:type="dcterms:W3CDTF">2026-09-30T05:08:00Z</dcterms:created>
  <dcterms:modified xsi:type="dcterms:W3CDTF">2026-11-01T15:30:06Z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ICV">
    <vt:lpwstr>F497B72B00A24D3DBB5E08D581936F37_13</vt:lpwstr>
  </property>
</Properties>
</file>